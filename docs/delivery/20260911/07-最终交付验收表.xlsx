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d1cab02c4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用例" sheetId="1" r:id="R976802b2f7964004"/>
    <x:sheet xmlns:r="http://schemas.openxmlformats.org/officeDocument/2006/relationships" name="执行总览" sheetId="2" r:id="R5181418aa5ea42f3"/>
    <x:sheet xmlns:r="http://schemas.openxmlformats.org/officeDocument/2006/relationships" name="需求追踪" sheetId="3" r:id="Rd52f4bee73a2407b"/>
    <x:sheet xmlns:r="http://schemas.openxmlformats.org/officeDocument/2006/relationships" name="最终交付清单" sheetId="4" r:id="R99adfad8d82f4bf9"/>
    <x:sheet xmlns:r="http://schemas.openxmlformats.org/officeDocument/2006/relationships" name="V1.1图文整合" sheetId="5" r:id="Rf1a700e1cf1745bd"/>
    <x:sheet xmlns:r="http://schemas.openxmlformats.org/officeDocument/2006/relationships" name="现场复核" sheetId="6" r:id="Rd5ce27fbf224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15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6"/>
      <x:color rgb="FF17365D"/>
      <x:name val="Arial"/>
    </x:font>
    <x:font>
      <x:sz val="11"/>
      <x:name val="Arial"/>
    </x:font>
    <x:font>
      <x:b/>
      <x:sz val="11"/>
      <x:color rgb="FF7F6000"/>
      <x:name val="Arial"/>
    </x:font>
    <x:font>
      <x:sz val="10"/>
      <x:name val="Arial"/>
    </x:font>
    <x:font>
      <x:i/>
      <x:sz val="10"/>
      <x:color rgb="FF666666"/>
      <x:name val="Arial"/>
    </x:font>
    <x:font>
      <x:sz val="10"/>
      <x:color rgb="FF222222"/>
      <x:name val="Arial"/>
    </x:font>
    <x:font>
      <x:sz val="10"/>
      <x:color rgb="FF375623"/>
      <x:name val="Arial"/>
    </x:font>
    <x:font>
      <x:b/>
      <x:sz val="16"/>
      <x:color rgb="FFFFFFFF"/>
      <x:name val="Arial"/>
    </x:font>
    <x:font>
      <x:b/>
      <x:sz val="10"/>
      <x:color rgb="FF17365D"/>
      <x:name val="Arial"/>
    </x:font>
    <x:font>
      <x:b/>
      <x:sz val="10"/>
      <x:color rgb="FF375623"/>
      <x:name val="Arial"/>
    </x:font>
    <x:font>
      <x:b/>
      <x:sz val="10"/>
      <x:color rgb="FF7F6000"/>
      <x:name val="Arial"/>
    </x:font>
    <x:font>
      <x:b/>
      <x:sz val="10"/>
      <x:color rgb="FF990000"/>
      <x:name val="Arial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38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AAB7C4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AAB7C4"/>
      </x:bottom>
    </x:border>
    <x:border>
      <x:bottom style="thin">
        <x:color rgb="FF17365D"/>
      </x:bottom>
    </x:border>
    <x:border>
      <x:bottom style="thin">
        <x:color rgb="FF17365D"/>
      </x:bottom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  <x:top style="thin">
        <x:color rgb="FFAAB7C4"/>
      </x:top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</x:border>
    <x:border>
      <x:left style="thin">
        <x:color rgb="FFAAB7C4"/>
      </x:left>
      <x:right style="thin">
        <x:color rgb="FFAAB7C4"/>
      </x:right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thin">
        <x:color rgb="FFAAB7C4"/>
      </x:top>
    </x:border>
    <x:border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0" borderId="10" xfId="0" applyNumberFormat="1" applyFont="1" applyFill="1" applyBorder="1" applyAlignment="1">
      <x:alignment horizontal="center" vertical="top" wrapText="1"/>
    </x:xf>
    <x:xf numFmtId="0" fontId="1" fillId="0" borderId="12" xfId="0" applyNumberFormat="1" applyFont="1" applyFill="1" applyBorder="1" applyAlignment="1">
      <x:alignment horizontal="center" vertical="top" wrapText="1"/>
    </x:xf>
    <x:xf numFmtId="0" fontId="1" fillId="0" borderId="13" xfId="0" applyNumberFormat="1" applyFont="1" applyFill="1" applyBorder="1" applyAlignment="1">
      <x:alignment horizontal="center" vertical="top" wrapText="1"/>
    </x:xf>
    <x:xf numFmtId="200" fontId="1" fillId="0" borderId="9" xfId="0" applyNumberFormat="1" applyFont="1" applyFill="1" applyBorder="1" applyAlignment="1">
      <x:alignment horizontal="center" vertical="top" wrapText="1"/>
    </x:xf>
    <x:xf numFmtId="200" fontId="1" fillId="0" borderId="10" xfId="0" applyNumberFormat="1" applyFont="1" applyFill="1" applyBorder="1" applyAlignment="1">
      <x:alignment horizontal="center" vertical="top" wrapText="1"/>
    </x:xf>
    <x:xf numFmtId="200" fontId="1" fillId="0" borderId="12" xfId="0" applyNumberFormat="1" applyFont="1" applyFill="1" applyBorder="1" applyAlignment="1">
      <x:alignment horizontal="center" vertical="top" wrapText="1"/>
    </x:xf>
    <x:xf numFmtId="200" fontId="1" fillId="0" borderId="13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26" xfId="0" applyNumberFormat="1" applyFont="1" applyFill="1" applyBorder="1"/>
    <x:xf numFmtId="0" fontId="4" fillId="0" borderId="27" xfId="0" applyNumberFormat="1" applyFont="1" applyFill="1" applyBorder="1"/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4" fillId="0" borderId="22" xfId="0" applyNumberFormat="1" applyFont="1" applyFill="1" applyBorder="1" applyAlignment="1">
      <x:alignment vertical="center"/>
    </x:xf>
    <x:xf numFmtId="0" fontId="4" fillId="0" borderId="23" xfId="0" applyNumberFormat="1" applyFont="1" applyFill="1" applyBorder="1" applyAlignment="1">
      <x:alignment vertical="center"/>
    </x:xf>
    <x:xf numFmtId="0" fontId="4" fillId="0" borderId="24" xfId="0" applyNumberFormat="1" applyFont="1" applyFill="1" applyBorder="1" applyAlignment="1">
      <x:alignment vertical="center"/>
    </x:xf>
    <x:xf numFmtId="0" fontId="4" fillId="0" borderId="25" xfId="0" applyNumberFormat="1" applyFont="1" applyFill="1" applyBorder="1" applyAlignment="1">
      <x:alignment vertical="center"/>
    </x:xf>
    <x:xf numFmtId="0" fontId="4" fillId="0" borderId="26" xfId="0" applyNumberFormat="1" applyFont="1" applyFill="1" applyBorder="1" applyAlignment="1">
      <x:alignment vertical="center"/>
    </x:xf>
    <x:xf numFmtId="0" fontId="4" fillId="0" borderId="27" xfId="0" applyNumberFormat="1" applyFont="1" applyFill="1" applyBorder="1" applyAlignment="1">
      <x:alignment vertical="center"/>
    </x:xf>
    <x:xf numFmtId="0" fontId="4" fillId="3" borderId="20" xfId="0" applyNumberFormat="1" applyFont="1" applyFill="1" applyBorder="1" applyAlignment="1">
      <x:alignment vertical="center"/>
    </x:xf>
    <x:xf numFmtId="0" fontId="4" fillId="3" borderId="21" xfId="0" applyNumberFormat="1" applyFont="1" applyFill="1" applyBorder="1" applyAlignment="1">
      <x:alignment vertical="center"/>
    </x:xf>
    <x:xf numFmtId="0" fontId="4" fillId="3" borderId="26" xfId="0" applyNumberFormat="1" applyFont="1" applyFill="1" applyBorder="1" applyAlignment="1">
      <x:alignment vertical="center"/>
    </x:xf>
    <x:xf numFmtId="0" fontId="4" fillId="3" borderId="27" xfId="0" applyNumberFormat="1" applyFont="1" applyFill="1" applyBorder="1" applyAlignment="1">
      <x:alignment vertical="center"/>
    </x:xf>
    <x:xf numFmtId="0" fontId="5" fillId="3" borderId="20" xfId="0" applyNumberFormat="1" applyFont="1" applyFill="1" applyBorder="1" applyAlignment="1">
      <x:alignment vertical="center"/>
    </x:xf>
    <x:xf numFmtId="0" fontId="5" fillId="3" borderId="21" xfId="0" applyNumberFormat="1" applyFont="1" applyFill="1" applyBorder="1" applyAlignment="1">
      <x:alignment vertical="center"/>
    </x:xf>
    <x:xf numFmtId="0" fontId="5" fillId="3" borderId="26" xfId="0" applyNumberFormat="1" applyFont="1" applyFill="1" applyBorder="1" applyAlignment="1">
      <x:alignment vertical="center"/>
    </x:xf>
    <x:xf numFmtId="0" fontId="5" fillId="3" borderId="27" xfId="0" applyNumberFormat="1" applyFont="1" applyFill="1" applyBorder="1" applyAlignment="1">
      <x:alignment vertical="center"/>
    </x:xf>
    <x:xf numFmtId="0" fontId="5" fillId="3" borderId="28" xfId="0" applyNumberFormat="1" applyFont="1" applyFill="1" applyBorder="1" applyAlignment="1">
      <x:alignment vertical="center"/>
    </x:xf>
    <x:xf numFmtId="0" fontId="5" fillId="3" borderId="29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6" xfId="0" applyNumberFormat="1" applyFont="1" applyFill="1" applyBorder="1"/>
    <x:xf numFmtId="0" fontId="6" fillId="0" borderId="30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2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31" xfId="0" applyNumberFormat="1" applyFont="1" applyFill="1" applyBorder="1"/>
    <x:xf numFmtId="0" fontId="6" fillId="0" borderId="21" xfId="0" applyNumberFormat="1" applyFont="1" applyFill="1" applyBorder="1"/>
    <x:xf numFmtId="0" fontId="6" fillId="0" borderId="22" xfId="0" applyNumberFormat="1" applyFont="1" applyFill="1" applyBorder="1"/>
    <x:xf numFmtId="0" fontId="6" fillId="0" borderId="32" xfId="0" applyNumberFormat="1" applyFont="1" applyFill="1" applyBorder="1"/>
    <x:xf numFmtId="0" fontId="6" fillId="0" borderId="23" xfId="0" applyNumberFormat="1" applyFont="1" applyFill="1" applyBorder="1"/>
    <x:xf numFmtId="0" fontId="6" fillId="0" borderId="24" xfId="0" applyNumberFormat="1" applyFont="1" applyFill="1" applyBorder="1"/>
    <x:xf numFmtId="0" fontId="6" fillId="0" borderId="29" xfId="0" applyNumberFormat="1" applyFont="1" applyFill="1" applyBorder="1"/>
    <x:xf numFmtId="0" fontId="6" fillId="0" borderId="25" xfId="0" applyNumberFormat="1" applyFont="1" applyFill="1" applyBorder="1"/>
    <x:xf numFmtId="0" fontId="6" fillId="0" borderId="26" xfId="0" applyNumberFormat="1" applyFont="1" applyFill="1" applyBorder="1"/>
    <x:xf numFmtId="0" fontId="6" fillId="0" borderId="33" xfId="0" applyNumberFormat="1" applyFont="1" applyFill="1" applyBorder="1"/>
    <x:xf numFmtId="0" fontId="6" fillId="0" borderId="27" xfId="0" applyNumberFormat="1" applyFont="1" applyFill="1" applyBorder="1"/>
    <x:xf numFmtId="0" fontId="6" fillId="0" borderId="16" xfId="0" applyNumberFormat="1" applyFont="1" applyFill="1" applyBorder="1" applyAlignment="1">
      <x:alignment wrapText="1"/>
    </x:xf>
    <x:xf numFmtId="0" fontId="6" fillId="0" borderId="30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2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31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3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6" fillId="0" borderId="29" xfId="0" applyNumberFormat="1" applyFont="1" applyFill="1" applyBorder="1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26" xfId="0" applyNumberFormat="1" applyFont="1" applyFill="1" applyBorder="1" applyAlignment="1">
      <x:alignment wrapText="1"/>
    </x:xf>
    <x:xf numFmtId="0" fontId="6" fillId="0" borderId="33" xfId="0" applyNumberFormat="1" applyFont="1" applyFill="1" applyBorder="1" applyAlignment="1">
      <x:alignment wrapText="1"/>
    </x:xf>
    <x:xf numFmtId="0" fontId="6" fillId="0" borderId="2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30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2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31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3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borderId="29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6" fillId="0" borderId="26" xfId="0" applyNumberFormat="1" applyFont="1" applyFill="1" applyBorder="1" applyAlignment="1">
      <x:alignment vertical="top" wrapText="1"/>
    </x:xf>
    <x:xf numFmtId="0" fontId="6" fillId="0" borderId="33" xfId="0" applyNumberFormat="1" applyFont="1" applyFill="1" applyBorder="1" applyAlignment="1">
      <x:alignment vertical="top" wrapText="1"/>
    </x:xf>
    <x:xf numFmtId="0" fontId="6" fillId="0" borderId="27" xfId="0" applyNumberFormat="1" applyFont="1" applyFill="1" applyBorder="1" applyAlignment="1">
      <x:alignment vertical="top" wrapText="1"/>
    </x:xf>
    <x:xf numFmtId="0" fontId="6" fillId="3" borderId="30" xfId="0" applyNumberFormat="1" applyFont="1" applyFill="1" applyBorder="1" applyAlignment="1">
      <x:alignment vertical="top" wrapText="1"/>
    </x:xf>
    <x:xf numFmtId="0" fontId="6" fillId="3" borderId="28" xfId="0" applyNumberFormat="1" applyFont="1" applyFill="1" applyBorder="1" applyAlignment="1">
      <x:alignment vertical="top" wrapText="1"/>
    </x:xf>
    <x:xf numFmtId="0" fontId="6" fillId="3" borderId="31" xfId="0" applyNumberFormat="1" applyFont="1" applyFill="1" applyBorder="1" applyAlignment="1">
      <x:alignment vertical="top" wrapText="1"/>
    </x:xf>
    <x:xf numFmtId="0" fontId="6" fillId="3" borderId="32" xfId="0" applyNumberFormat="1" applyFont="1" applyFill="1" applyBorder="1" applyAlignment="1">
      <x:alignment vertical="top" wrapText="1"/>
    </x:xf>
    <x:xf numFmtId="0" fontId="6" fillId="3" borderId="29" xfId="0" applyNumberFormat="1" applyFont="1" applyFill="1" applyBorder="1" applyAlignment="1">
      <x:alignment vertical="top" wrapText="1"/>
    </x:xf>
    <x:xf numFmtId="0" fontId="6" fillId="3" borderId="33" xfId="0" applyNumberFormat="1" applyFont="1" applyFill="1" applyBorder="1" applyAlignment="1">
      <x:alignment vertical="top" wrapText="1"/>
    </x:xf>
    <x:xf numFmtId="0" fontId="6" fillId="3" borderId="17" xfId="0" applyNumberFormat="1" applyFont="1" applyFill="1" applyBorder="1" applyAlignment="1">
      <x:alignment vertical="top" wrapText="1"/>
    </x:xf>
    <x:xf numFmtId="0" fontId="6" fillId="3" borderId="19" xfId="0" applyNumberFormat="1" applyFont="1" applyFill="1" applyBorder="1" applyAlignment="1">
      <x:alignment vertical="top" wrapText="1"/>
    </x:xf>
    <x:xf numFmtId="0" fontId="6" fillId="3" borderId="21" xfId="0" applyNumberFormat="1" applyFont="1" applyFill="1" applyBorder="1" applyAlignment="1">
      <x:alignment vertical="top" wrapText="1"/>
    </x:xf>
    <x:xf numFmtId="0" fontId="6" fillId="3" borderId="23" xfId="0" applyNumberFormat="1" applyFont="1" applyFill="1" applyBorder="1" applyAlignment="1">
      <x:alignment vertical="top" wrapText="1"/>
    </x:xf>
    <x:xf numFmtId="0" fontId="6" fillId="3" borderId="25" xfId="0" applyNumberFormat="1" applyFont="1" applyFill="1" applyBorder="1" applyAlignment="1">
      <x:alignment vertical="top" wrapText="1"/>
    </x:xf>
    <x:xf numFmtId="0" fontId="6" fillId="3" borderId="27" xfId="0" applyNumberFormat="1" applyFont="1" applyFill="1" applyBorder="1" applyAlignment="1">
      <x:alignment vertical="top" wrapText="1"/>
    </x:xf>
    <x:xf numFmtId="0" fontId="5" fillId="4" borderId="2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34" xfId="0" applyNumberFormat="1" applyFont="1" applyFill="1" applyBorder="1" applyAlignment="1">
      <x:alignment vertical="top" wrapText="1"/>
    </x:xf>
    <x:xf numFmtId="0" fontId="8" fillId="0" borderId="35" xfId="0" applyNumberFormat="1" applyFont="1" applyFill="1" applyBorder="1" applyAlignment="1">
      <x:alignment vertical="top" wrapText="1"/>
    </x:xf>
    <x:xf numFmtId="0" fontId="8" fillId="6" borderId="34" xfId="0" applyNumberFormat="1" applyFont="1" applyFill="1" applyBorder="1" applyAlignment="1">
      <x:alignment vertical="top" wrapText="1"/>
    </x:xf>
    <x:xf numFmtId="0" fontId="8" fillId="6" borderId="35" xfId="0" applyNumberFormat="1" applyFont="1" applyFill="1" applyBorder="1" applyAlignment="1">
      <x:alignment vertical="top" wrapText="1"/>
    </x:xf>
    <x:xf numFmtId="0" fontId="9" fillId="6" borderId="34" xfId="0" applyNumberFormat="1" applyFont="1" applyFill="1" applyBorder="1" applyAlignment="1">
      <x:alignment vertical="top" wrapText="1"/>
    </x:xf>
    <x:xf numFmtId="0" fontId="9" fillId="6" borderId="35" xfId="0" applyNumberFormat="1" applyFont="1" applyFill="1" applyBorder="1" applyAlignment="1">
      <x:alignment vertical="top" wrapText="1"/>
    </x:xf>
    <x:xf numFmtId="0" fontId="9" fillId="6" borderId="34" xfId="0" applyNumberFormat="1" applyFont="1" applyFill="1" applyBorder="1" applyAlignment="1">
      <x:alignment horizontal="center" vertical="top" wrapText="1"/>
    </x:xf>
    <x:xf numFmtId="0" fontId="9" fillId="6" borderId="35" xfId="0" applyNumberFormat="1" applyFont="1" applyFill="1" applyBorder="1" applyAlignment="1">
      <x:alignment horizontal="center" vertical="top" wrapText="1"/>
    </x:xf>
    <x:xf numFmtId="0" fontId="9" fillId="6" borderId="34" xfId="0" applyNumberFormat="1" applyFont="1" applyFill="1" applyBorder="1" applyAlignment="1">
      <x:alignment horizontal="center" vertical="center" wrapText="1"/>
    </x:xf>
    <x:xf numFmtId="0" fontId="9" fillId="6" borderId="35" xfId="0" applyNumberFormat="1" applyFont="1" applyFill="1" applyBorder="1" applyAlignment="1">
      <x:alignment horizontal="center" vertical="center" wrapText="1"/>
    </x:xf>
    <x:xf numFmtId="200" fontId="8" fillId="0" borderId="34" xfId="0" applyNumberFormat="1" applyFont="1" applyFill="1" applyBorder="1" applyAlignment="1">
      <x:alignment vertical="top" wrapText="1"/>
    </x:xf>
    <x:xf numFmtId="200" fontId="8" fillId="0" borderId="35" xfId="0" applyNumberFormat="1" applyFont="1" applyFill="1" applyBorder="1" applyAlignment="1">
      <x:alignment vertical="top" wrapText="1"/>
    </x:xf>
    <x:xf numFmtId="0" fontId="5" fillId="7" borderId="28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8" fillId="6" borderId="34" xfId="0" applyNumberFormat="1" applyFont="1" applyFill="1" applyBorder="1" applyAlignment="1">
      <x:alignment horizontal="center" vertical="center" wrapText="1"/>
    </x:xf>
    <x:xf numFmtId="0" fontId="8" fillId="6" borderId="35" xfId="0" applyNumberFormat="1" applyFont="1" applyFill="1" applyBorder="1" applyAlignment="1">
      <x:alignment horizontal="center" vertical="center" wrapText="1"/>
    </x:xf>
    <x:xf numFmtId="0" fontId="8" fillId="6" borderId="34" xfId="0" applyNumberFormat="1" applyFont="1" applyFill="1" applyBorder="1" applyAlignment="1">
      <x:alignment horizontal="center" vertical="top" wrapText="1"/>
    </x:xf>
    <x:xf numFmtId="0" fontId="8" fillId="6" borderId="35" xfId="0" applyNumberFormat="1" applyFont="1" applyFill="1" applyBorder="1" applyAlignment="1">
      <x:alignment horizontal="center" vertical="top" wrapText="1"/>
    </x:xf>
    <x:xf numFmtId="0" fontId="8" fillId="9" borderId="34" xfId="0" applyNumberFormat="1" applyFont="1" applyFill="1" applyBorder="1" applyAlignment="1">
      <x:alignment horizontal="center" vertical="top" wrapText="1"/>
    </x:xf>
    <x:xf numFmtId="0" fontId="8" fillId="9" borderId="35" xfId="0" applyNumberFormat="1" applyFont="1" applyFill="1" applyBorder="1" applyAlignment="1">
      <x:alignment horizontal="center" vertical="top" wrapText="1"/>
    </x:xf>
    <x:xf numFmtId="0" fontId="9" fillId="9" borderId="34" xfId="0" applyNumberFormat="1" applyFont="1" applyFill="1" applyBorder="1" applyAlignment="1">
      <x:alignment horizontal="center" vertical="top" wrapText="1"/>
    </x:xf>
    <x:xf numFmtId="0" fontId="9" fillId="9" borderId="35" xfId="0" applyNumberFormat="1" applyFont="1" applyFill="1" applyBorder="1" applyAlignment="1">
      <x:alignment horizontal="center" vertical="top" wrapText="1"/>
    </x:xf>
    <x:xf numFmtId="0" fontId="9" fillId="9" borderId="34" xfId="0" applyNumberFormat="1" applyFont="1" applyFill="1" applyBorder="1" applyAlignment="1">
      <x:alignment horizontal="center" vertical="center" wrapText="1"/>
    </x:xf>
    <x:xf numFmtId="0" fontId="9" fillId="9" borderId="35" xfId="0" applyNumberFormat="1" applyFont="1" applyFill="1" applyBorder="1" applyAlignment="1">
      <x:alignment horizontal="center" vertical="center" wrapText="1"/>
    </x:xf>
    <x:xf numFmtId="0" fontId="5" fillId="10" borderId="28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8" fillId="12" borderId="34" xfId="0" applyNumberFormat="1" applyFont="1" applyFill="1" applyBorder="1" applyAlignment="1">
      <x:alignment horizontal="center" vertical="top" wrapText="1"/>
    </x:xf>
    <x:xf numFmtId="0" fontId="8" fillId="12" borderId="35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5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9" fillId="12" borderId="35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8" fillId="0" borderId="36" xfId="0" applyNumberFormat="1" applyFont="1" applyFill="1" applyBorder="1" applyAlignment="1">
      <x:alignment vertical="top" wrapText="1"/>
    </x:xf>
    <x:xf numFmtId="0" fontId="8" fillId="0" borderId="37" xfId="0" applyNumberFormat="1" applyFont="1" applyFill="1" applyBorder="1" applyAlignment="1">
      <x:alignment vertical="top" wrapText="1"/>
    </x:xf>
    <x:xf numFmtId="0" fontId="8" fillId="16" borderId="36" xfId="0" applyNumberFormat="1" applyFont="1" applyFill="1" applyBorder="1" applyAlignment="1">
      <x:alignment vertical="top" wrapText="1"/>
    </x:xf>
    <x:xf numFmtId="0" fontId="8" fillId="16" borderId="37" xfId="0" applyNumberFormat="1" applyFont="1" applyFill="1" applyBorder="1" applyAlignment="1">
      <x:alignment vertical="top" wrapText="1"/>
    </x:xf>
    <x:xf numFmtId="0" fontId="12" fillId="16" borderId="36" xfId="0" applyNumberFormat="1" applyFont="1" applyFill="1" applyBorder="1" applyAlignment="1">
      <x:alignment vertical="top" wrapText="1"/>
    </x:xf>
    <x:xf numFmtId="0" fontId="12" fillId="16" borderId="37" xfId="0" applyNumberFormat="1" applyFont="1" applyFill="1" applyBorder="1" applyAlignment="1">
      <x:alignment vertical="top" wrapText="1"/>
    </x:xf>
    <x:xf numFmtId="0" fontId="12" fillId="16" borderId="36" xfId="0" applyNumberFormat="1" applyFont="1" applyFill="1" applyBorder="1" applyAlignment="1">
      <x:alignment horizontal="center" vertical="top" wrapText="1"/>
    </x:xf>
    <x:xf numFmtId="0" fontId="12" fillId="16" borderId="37" xfId="0" applyNumberFormat="1" applyFont="1" applyFill="1" applyBorder="1" applyAlignment="1">
      <x:alignment horizontal="center" vertical="top" wrapText="1"/>
    </x:xf>
    <x:xf numFmtId="0" fontId="12" fillId="16" borderId="36" xfId="0" applyNumberFormat="1" applyFont="1" applyFill="1" applyBorder="1" applyAlignment="1">
      <x:alignment horizontal="center" vertical="center" wrapText="1"/>
    </x:xf>
    <x:xf numFmtId="0" fontId="12" fillId="16" borderId="37" xfId="0" applyNumberFormat="1" applyFont="1" applyFill="1" applyBorder="1" applyAlignment="1">
      <x:alignment horizontal="center" vertical="center" wrapText="1"/>
    </x:xf>
    <x:xf numFmtId="0" fontId="8" fillId="17" borderId="37" xfId="0" applyNumberFormat="1" applyFont="1" applyFill="1" applyBorder="1" applyAlignment="1">
      <x:alignment vertical="top" wrapText="1"/>
    </x:xf>
    <x:xf numFmtId="0" fontId="13" fillId="17" borderId="37" xfId="0" applyNumberFormat="1" applyFont="1" applyFill="1" applyBorder="1" applyAlignment="1">
      <x:alignment vertical="top" wrapText="1"/>
    </x:xf>
    <x:xf numFmtId="0" fontId="13" fillId="17" borderId="37" xfId="0" applyNumberFormat="1" applyFont="1" applyFill="1" applyBorder="1" applyAlignment="1">
      <x:alignment horizontal="center" vertical="top" wrapText="1"/>
    </x:xf>
    <x:xf numFmtId="0" fontId="13" fillId="17" borderId="37" xfId="0" applyNumberFormat="1" applyFont="1" applyFill="1" applyBorder="1" applyAlignment="1">
      <x:alignment horizontal="center" vertical="center" wrapText="1"/>
    </x:xf>
    <x:xf numFmtId="0" fontId="8" fillId="18" borderId="37" xfId="0" applyNumberFormat="1" applyFont="1" applyFill="1" applyBorder="1" applyAlignment="1">
      <x:alignment vertical="top" wrapText="1"/>
    </x:xf>
    <x:xf numFmtId="0" fontId="14" fillId="18" borderId="37" xfId="0" applyNumberFormat="1" applyFont="1" applyFill="1" applyBorder="1" applyAlignment="1">
      <x:alignment vertical="top" wrapText="1"/>
    </x:xf>
    <x:xf numFmtId="0" fontId="14" fillId="18" borderId="37" xfId="0" applyNumberFormat="1" applyFont="1" applyFill="1" applyBorder="1" applyAlignment="1">
      <x:alignment horizontal="center" vertical="top" wrapText="1"/>
    </x:xf>
    <x:xf numFmtId="0" fontId="14" fillId="18" borderId="3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45d37be9c4a4b" /><Relationship Type="http://schemas.openxmlformats.org/officeDocument/2006/relationships/theme" Target="/xl/theme/theme1.xml" Id="R818343509a584dc1" /><Relationship Type="http://schemas.openxmlformats.org/officeDocument/2006/relationships/sharedStrings" Target="/xl/sharedStrings.xml" Id="Rce87be005d9d4e81" /><Relationship Type="http://schemas.openxmlformats.org/officeDocument/2006/relationships/worksheet" Target="/xl/worksheets/sheet1.xml" Id="R976802b2f7964004" /><Relationship Type="http://schemas.openxmlformats.org/officeDocument/2006/relationships/worksheet" Target="/xl/worksheets/sheet2.xml" Id="R5181418aa5ea42f3" /><Relationship Type="http://schemas.openxmlformats.org/officeDocument/2006/relationships/worksheet" Target="/xl/worksheets/sheet3.xml" Id="Rd52f4bee73a2407b" /><Relationship Type="http://schemas.openxmlformats.org/officeDocument/2006/relationships/worksheet" Target="/xl/worksheets/sheet4.xml" Id="R99adfad8d82f4bf9" /><Relationship Type="http://schemas.openxmlformats.org/officeDocument/2006/relationships/worksheet" Target="/xl/worksheets/sheet5.xml" Id="Rf1a700e1cf1745bd" /><Relationship Type="http://schemas.openxmlformats.org/officeDocument/2006/relationships/worksheet" Target="/xl/worksheets/sheet6.xml" Id="Rd5ce27fbf2244ea6" /></Relationships>
</file>

<file path=xl/tables/table1.xml><?xml version="1.0" encoding="utf-8"?>
<x:table xmlns:x="http://schemas.openxmlformats.org/spreadsheetml/2006/main" id="1" name="AcceptanceCasesTable" displayName="AcceptanceCasesTable" ref="A1:N84" headerRowCount="1" totalsRowCount="0" totalsRowShown="0">
  <x:autoFilter ref="A1:N84"/>
  <x:tableColumns count="14">
    <x:tableColumn id="1" name="用例编号"/>
    <x:tableColumn id="2" name="需求映射"/>
    <x:tableColumn id="3" name="测试项"/>
    <x:tableColumn id="4" name="前置条件"/>
    <x:tableColumn id="5" name="操作步骤"/>
    <x:tableColumn id="6" name="预期结果"/>
    <x:tableColumn id="7" name="优先级"/>
    <x:tableColumn id="8" name="当前状态"/>
    <x:tableColumn id="9" name="实际结果"/>
    <x:tableColumn id="10" name="证据路径"/>
    <x:tableColumn id="11" name="缺陷编号"/>
    <x:tableColumn id="12" name="执行人"/>
    <x:tableColumn id="13" name="执行时间"/>
    <x:tableColumn id="14" name="版本标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ba0d5af26403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5" hidden="0" customWidth="1"/>
    <x:col min="3" max="3" width="26" hidden="0" customWidth="1"/>
    <x:col min="4" max="4" width="32" hidden="0" customWidth="1"/>
    <x:col min="5" max="5" width="42" hidden="0" customWidth="1"/>
    <x:col min="6" max="6" width="44" hidden="0" customWidth="1"/>
    <x:col min="7" max="7" width="10" hidden="0" customWidth="1"/>
    <x:col min="8" max="8" width="12" hidden="0" customWidth="1"/>
    <x:col min="9" max="9" width="42" hidden="0" customWidth="1"/>
    <x:col min="10" max="10" width="35" hidden="0" customWidth="1"/>
    <x:col min="11" max="11" width="14" hidden="0" customWidth="1"/>
    <x:col min="12" max="12" width="18" hidden="0" customWidth="1"/>
    <x:col min="13" max="13" width="22" hidden="0" customWidth="1"/>
    <x:col min="14" max="14" width="28" hidden="0" customWidth="1"/>
  </x:cols>
  <x:sheetData>
    <x:row r="1" ht="34" customHeight="1">
      <x:c r="A1" s="30" t="str">
        <x:v>用例编号</x:v>
      </x:c>
      <x:c r="B1" s="30" t="str">
        <x:v>需求映射</x:v>
      </x:c>
      <x:c r="C1" s="30" t="str">
        <x:v>测试项</x:v>
      </x:c>
      <x:c r="D1" s="30" t="str">
        <x:v>前置条件</x:v>
      </x:c>
      <x:c r="E1" s="30" t="str">
        <x:v>操作步骤</x:v>
      </x:c>
      <x:c r="F1" s="30" t="str">
        <x:v>预期结果</x:v>
      </x:c>
      <x:c r="G1" s="30" t="str">
        <x:v>优先级</x:v>
      </x:c>
      <x:c r="H1" s="30" t="str">
        <x:v>当前状态</x:v>
      </x:c>
      <x:c r="I1" s="30" t="str">
        <x:v>实际结果</x:v>
      </x:c>
      <x:c r="J1" s="30" t="str">
        <x:v>证据路径</x:v>
      </x:c>
      <x:c r="K1" s="30" t="str">
        <x:v>缺陷编号</x:v>
      </x:c>
      <x:c r="L1" s="30" t="str">
        <x:v>执行人</x:v>
      </x:c>
      <x:c r="M1" s="30" t="str">
        <x:v>执行时间</x:v>
      </x:c>
      <x:c r="N1" s="30" t="str">
        <x:v>版本标识</x:v>
      </x:c>
    </x:row>
    <x:row r="2" ht="30" customHeight="1">
      <x:c r="A2" s="36" t="str">
        <x:v>EN-01</x:v>
      </x:c>
      <x:c r="B2" s="36" t="str">
        <x:v>AC-01,AC-02</x:v>
      </x:c>
      <x:c r="C2" s="31" t="str">
        <x:v>入口与登录首界面</x:v>
      </x:c>
      <x:c r="D2" s="31" t="str">
        <x:v>清空本次浏览器登录态</x:v>
      </x:c>
      <x:c r="E2" s="31" t="str">
        <x:v>访问根地址；查看Logo、产品名、用户名密码输入框；检查1440/1280视口</x:v>
      </x:c>
      <x:c r="F2" s="31" t="str">
        <x:v>进入登录页；内容完整；无遮挡、错位或无效资源；不提前显示业务数据</x:v>
      </x:c>
      <x:c r="G2" s="36" t="str">
        <x:v>P0</x:v>
      </x:c>
      <x:c r="H2" s="36" t="str">
        <x:v>通过</x:v>
      </x:c>
      <x:c r="I2" s="31" t="str">
        <x:v>使用本机Google Chrome在精确1280×800视口打开登录首界面；用户名、密码、登录按钮完整可见，页面无横向溢出。</x:v>
      </x:c>
      <x:c r="J2" s="31" t="str">
        <x:v>work/dev-workspace/科研管理系统/build/local-offline-20260910/field-terminal/en01-login-1280.json;work/dev-workspace/科研管理系统/build/local-offline-20260910/field-terminal/en01-login-1280.png</x:v>
      </x:c>
      <x:c r="K2" s="31"/>
      <x:c r="L2" s="36" t="str">
        <x:v>主控实测、自动回归及证据复核</x:v>
      </x:c>
      <x:c r="M2" s="40" t="n">
        <x:v>46276.076712546295</x:v>
      </x:c>
      <x:c r="N2" s="31" t="str">
        <x:v>dev-workflow revision64 completed；Qwen3.5-9B Q8；83项最终实测；通用采购DOCX闭环</x:v>
      </x:c>
    </x:row>
    <x:row r="3" ht="30" customHeight="1">
      <x:c r="A3" s="36" t="str">
        <x:v>EN-02</x:v>
      </x:c>
      <x:c r="B3" s="36" t="str">
        <x:v>AC-12,AC-16</x:v>
      </x:c>
      <x:c r="C3" s="31" t="str">
        <x:v>正确及错误密码</x:v>
      </x:c>
      <x:c r="D3" s="31" t="str">
        <x:v>本机演示admin账号已创建</x:v>
      </x:c>
      <x:c r="E3" s="31" t="str">
        <x:v>输入一次错误密码；再输入用户指定的正确演示凭据登录</x:v>
      </x:c>
      <x:c r="F3" s="31" t="str">
        <x:v>错误密码拒绝；正确凭据进入工作台；不输出明文密码</x:v>
      </x:c>
      <x:c r="G3" s="36" t="str">
        <x:v>P0</x:v>
      </x:c>
      <x:c r="H3" s="36" t="str">
        <x:v>通过</x:v>
      </x:c>
      <x:c r="I3" s="31" t="str">
        <x:v>已有真实登录专项明确错误密码拒绝、正确业务登录；本次admin登录及重登录v2成功。记录不复制凭据。</x:v>
      </x:c>
      <x:c r="J3" s="31" t="str">
        <x:v>work/dev-workspace/科研管理系统/build/local-offline-20260910/login-entry/live-login.json;work/dev-workspace/科研管理系统/build/local-offline-20260910/field-terminal/real-ui-results.json</x:v>
      </x:c>
      <x:c r="K3" s="31"/>
      <x:c r="L3" s="36" t="str">
        <x:v>主控真实UI；验收记录核对</x:v>
      </x:c>
      <x:c r="M3" s="40" t="str">
        <x:v>2026-09-10 22:07:44 +08:00</x:v>
      </x:c>
      <x:c r="N3" s="31" t="str">
        <x:v>Stage09 revision29；0013；本案例词库v0；分项状态，非最终验收</x:v>
      </x:c>
    </x:row>
    <x:row r="4" ht="30" customHeight="1">
      <x:c r="A4" s="36" t="str">
        <x:v>EN-03</x:v>
      </x:c>
      <x:c r="B4" s="36" t="str">
        <x:v>AC-02</x:v>
      </x:c>
      <x:c r="C4" s="31" t="str">
        <x:v>六入口与目录</x:v>
      </x:c>
      <x:c r="D4" s="31" t="str">
        <x:v>已登录</x:v>
      </x:c>
      <x:c r="E4" s="31" t="str">
        <x:v>逐一打开工作台/科研提案/科研项目/专家库/科研资源/辅助工具；展开收起目录；刷新</x:v>
      </x:c>
      <x:c r="F4" s="31" t="str">
        <x:v>入口和目录可达；当前导航正确；展开偏好按现有行为保持</x:v>
      </x:c>
      <x:c r="G4" s="36" t="str">
        <x:v>P0</x:v>
      </x:c>
      <x:c r="H4" s="36" t="str">
        <x:v>通过</x:v>
      </x:c>
      <x:c r="I4" s="31" t="str">
        <x:v>当前Chrome逐一打开六入口；隔离全流程及恢复实例覆盖工作台、提案、项目、专家、设备、支出、标准、模板、表格和辅助工具，目录与刷新可用。</x:v>
      </x:c>
      <x:c r="J4" s="31" t="str">
        <x:v>work/dev-workspace/科研管理系统/build/local-offline-20260910/field-terminal/stage-e-limited-model-scope.json;work/dev-workspace/科研管理系统/build/acceptance-posix.V1lls7/browser-result.json;work/dev-workspace/科研管理系统/build/acceptance-posix.V1lls7/browser-after-restore.json</x:v>
      </x:c>
      <x:c r="K4" s="31"/>
      <x:c r="L4" s="36" t="str">
        <x:v>主控实测、自动回归及证据复核</x:v>
      </x:c>
      <x:c r="M4" s="40" t="n">
        <x:v>46276.076712546295</x:v>
      </x:c>
      <x:c r="N4" s="31" t="str">
        <x:v>dev-workflow revision64 completed；Qwen3.5-9B Q8；83项最终实测；通用采购DOCX闭环</x:v>
      </x:c>
    </x:row>
    <x:row r="5" ht="30" customHeight="1">
      <x:c r="A5" s="36" t="str">
        <x:v>EN-04</x:v>
      </x:c>
      <x:c r="B5" s="36" t="str">
        <x:v>AC-08,AC-16</x:v>
      </x:c>
      <x:c r="C5" s="31" t="str">
        <x:v>未登录访问及退出</x:v>
      </x:c>
      <x:c r="D5" s="31" t="str">
        <x:v>取得本案例附件下载URL</x:v>
      </x:c>
      <x:c r="E5" s="31" t="str">
        <x:v>退出登录；访问项目详情及附件URL；重新登录</x:v>
      </x:c>
      <x:c r="F5" s="31" t="str">
        <x:v>退出使当前会话失效；受保护内容不泄露；重新登录可继续</x:v>
      </x:c>
      <x:c r="G5" s="36" t="str">
        <x:v>P0</x:v>
      </x:c>
      <x:c r="H5" s="36" t="str">
        <x:v>通过</x:v>
      </x:c>
      <x:c r="I5" s="31" t="str">
        <x:v>退出后受保护页面与附件拒绝匿名访问；重新登录可回到业务页面。当前数据恢复实例又执行一次退出、登录、项目及报告回读。</x:v>
      </x:c>
      <x:c r="J5" s="31" t="str">
        <x:v>work/dev-workspace/科研管理系统/build/local-offline-20260910/field-terminal/fl05-anonymous-download.json;work/dev-workspace/科研管理系统/build/local-offline-20260910/field-terminal/stage-f-current-backup-restore-ui.json</x:v>
      </x:c>
      <x:c r="K5" s="31"/>
      <x:c r="L5" s="36" t="str">
        <x:v>主控实测、自动回归及证据复核</x:v>
      </x:c>
      <x:c r="M5" s="40" t="n">
        <x:v>46276.076712546295</x:v>
      </x:c>
      <x:c r="N5" s="31" t="str">
        <x:v>dev-workflow revision64 completed；Qwen3.5-9B Q8；83项最终实测；通用采购DOCX闭环</x:v>
      </x:c>
    </x:row>
    <x:row r="6" ht="30" customHeight="1">
      <x:c r="A6" s="36" t="str">
        <x:v>EN-05</x:v>
      </x:c>
      <x:c r="B6" s="36" t="str">
        <x:v>AC-12</x:v>
      </x:c>
      <x:c r="C6" s="31" t="str">
        <x:v>管理员与业务用户权限边界</x:v>
      </x:c>
      <x:c r="D6" s="31" t="str">
        <x:v>准备admin管理员和一个可恢复的业务测试账号</x:v>
      </x:c>
      <x:c r="E6" s="31" t="str">
        <x:v>admin执行业务及维护操作；业务账号读取同一项目并尝试访问维护入口</x:v>
      </x:c>
      <x:c r="F6" s="31" t="str">
        <x:v>admin不另设维护员即可完成业务和维护操作；业务账号保持同权业务范围且不能越权维护；403不能误判成功</x:v>
      </x:c>
      <x:c r="G6" s="36" t="str">
        <x:v>P0</x:v>
      </x:c>
      <x:c r="H6" s="36" t="str">
        <x:v>通过</x:v>
      </x:c>
      <x:c r="I6" s="31" t="str">
        <x:v>admin完成业务及维护操作；专用BUSINESS_USER读取六入口和本案，用户、词库、模型加载卸载入口均403且无模型副作用。</x:v>
      </x:c>
      <x:c r="J6" s="31" t="str">
        <x:v>work/dev-workspace/科研管理系统/build/local-offline-20260910/field-terminal/stage-e-business-account-security.json;work/dev-workspace/科研管理系统/build/local-offline-20260910/field-terminal/stage-e-limited-model-scope.json</x:v>
      </x:c>
      <x:c r="K6" s="31"/>
      <x:c r="L6" s="36" t="str">
        <x:v>主控实测、自动回归及证据复核</x:v>
      </x:c>
      <x:c r="M6" s="40" t="n">
        <x:v>46276.076712546295</x:v>
      </x:c>
      <x:c r="N6" s="31" t="str">
        <x:v>dev-workflow revision64 completed；Qwen3.5-9B Q8；83项最终实测；通用采购DOCX闭环</x:v>
      </x:c>
    </x:row>
    <x:row r="7" ht="30" customHeight="1">
      <x:c r="A7" s="36" t="str">
        <x:v>EN-06</x:v>
      </x:c>
      <x:c r="B7" s="36" t="str">
        <x:v>AC-12,AC-16</x:v>
      </x:c>
      <x:c r="C7" s="31" t="str">
        <x:v>账号停用、改密和留痕</x:v>
      </x:c>
      <x:c r="D7" s="31" t="str">
        <x:v>仅使用可恢复的专用业务测试账号；admin执行维护</x:v>
      </x:c>
      <x:c r="E7" s="31" t="str">
        <x:v>界面创建或选定业务测试账号；停用并尝试登录；启用；按正式规则改密；检索操作记录</x:v>
      </x:c>
      <x:c r="F7" s="31" t="str">
        <x:v>停用不能登录；改密后新凭据有效；操作记录准确；不修改admin演示账号或其他用户</x:v>
      </x:c>
      <x:c r="G7" s="36" t="str">
        <x:v>P1</x:v>
      </x:c>
      <x:c r="H7" s="36" t="str">
        <x:v>通过</x:v>
      </x:c>
      <x:c r="I7" s="31" t="str">
        <x:v>专用业务账号完成重置、强制改密、停用拒登、启用重登、再次停用；账号、登录和改密审计数量已回读，admin未改。</x:v>
      </x:c>
      <x:c r="J7" s="31" t="str">
        <x:v>work/dev-workspace/科研管理系统/build/local-offline-20260910/field-terminal/stage-e-business-account-security.json</x:v>
      </x:c>
      <x:c r="K7" s="31"/>
      <x:c r="L7" s="36" t="str">
        <x:v>主控实测、自动回归及证据复核</x:v>
      </x:c>
      <x:c r="M7" s="40" t="n">
        <x:v>46276.076712546295</x:v>
      </x:c>
      <x:c r="N7" s="31" t="str">
        <x:v>dev-workflow revision64 completed；Qwen3.5-9B Q8；83项最终实测；通用采购DOCX闭环</x:v>
      </x:c>
    </x:row>
    <x:row r="8" ht="30" customHeight="1">
      <x:c r="A8" s="36" t="str">
        <x:v>KW-01</x:v>
      </x:c>
      <x:c r="B8" s="36" t="str">
        <x:v>NEW-KW</x:v>
      </x:c>
      <x:c r="C8" s="31" t="str">
        <x:v>词库新增、编辑与禁用</x:v>
      </x:c>
      <x:c r="D8" s="31" t="str">
        <x:v>词库已实现并迁移；真实维护操作需合法身份；采用第3节虚构映射</x:v>
      </x:c>
      <x:c r="E8" s="31" t="str">
        <x:v>新建六个词条；编辑一个代称；禁用一条；刷新回读</x:v>
      </x:c>
      <x:c r="F8" s="31" t="str">
        <x:v>规则持久保存；原词/代称/启用状态准确；规则变更有版本</x:v>
      </x:c>
      <x:c r="G8" s="36" t="str">
        <x:v>P0</x:v>
      </x:c>
      <x:c r="H8" s="36" t="str">
        <x:v>通过</x:v>
      </x:c>
      <x:c r="I8" s="31" t="str">
        <x:v>在当前数据独立恢复副本中由本机Chrome将词库从v2保存为v3，禁用K1并写入说明；刷新页面及数据库回读均保持K1禁用与说明内容。</x:v>
      </x:c>
      <x:c r="J8" s="31" t="str">
        <x:v>work/dev-workspace/科研管理系统/build/local-offline-20260910/field-terminal/kw01-kw02-live-chrome.json;work/dev-workspace/科研管理系统/build/local-offline-20260910/field-terminal/kw01-disabled-refresh.png</x:v>
      </x:c>
      <x:c r="K8" s="31"/>
      <x:c r="L8" s="36" t="str">
        <x:v>主控实测、自动回归及证据复核</x:v>
      </x:c>
      <x:c r="M8" s="40" t="n">
        <x:v>46276.076712546295</x:v>
      </x:c>
      <x:c r="N8" s="31" t="str">
        <x:v>dev-workflow revision64 completed；Qwen3.5-9B Q8；83项最终实测；通用采购DOCX闭环</x:v>
      </x:c>
    </x:row>
    <x:row r="9" ht="30" customHeight="1">
      <x:c r="A9" s="36" t="str">
        <x:v>KW-02</x:v>
      </x:c>
      <x:c r="B9" s="36" t="str">
        <x:v>NEW-KW</x:v>
      </x:c>
      <x:c r="C9" s="31" t="str">
        <x:v>词库导入与预览</x:v>
      </x:c>
      <x:c r="D9" s="31" t="str">
        <x:v>词库已实现并迁移；真实维护操作需合法身份；准备重复/空代称测试表</x:v>
      </x:c>
      <x:c r="E9" s="31" t="str">
        <x:v>上传词库；预览映射；测试取消；修正后提交</x:v>
      </x:c>
      <x:c r="F9" s="31" t="str">
        <x:v>错误行明确；取消零写入；重复词冲突不静默覆盖；提交结果可回读</x:v>
      </x:c>
      <x:c r="G9" s="36" t="str">
        <x:v>P1</x:v>
      </x:c>
      <x:c r="H9" s="36" t="str">
        <x:v>通过</x:v>
      </x:c>
      <x:c r="I9" s="31" t="str">
        <x:v>本机Chrome逐一提交8类无效词库JSON，均在页面阻止；有效临时规则可预览，取消后数据库零写入且当前词库仍为v3。</x:v>
      </x:c>
      <x:c r="J9" s="31" t="str">
        <x:v>work/dev-workspace/科研管理系统/build/local-offline-20260910/field-terminal/kw01-kw02-live-chrome.json;work/dev-workspace/科研管理系统/build/local-offline-20260910/field-terminal/kw02-valid-preview.png</x:v>
      </x:c>
      <x:c r="K9" s="31"/>
      <x:c r="L9" s="36" t="str">
        <x:v>主控实测、自动回归及证据复核</x:v>
      </x:c>
      <x:c r="M9" s="40" t="n">
        <x:v>46276.076712546295</x:v>
      </x:c>
      <x:c r="N9" s="31" t="str">
        <x:v>dev-workflow revision64 completed；Qwen3.5-9B Q8；83项最终实测；通用采购DOCX闭环</x:v>
      </x:c>
    </x:row>
    <x:row r="10" ht="30" customHeight="1">
      <x:c r="A10" s="36" t="str">
        <x:v>KW-03</x:v>
      </x:c>
      <x:c r="B10" s="36" t="str">
        <x:v>NEW-KW</x:v>
      </x:c>
      <x:c r="C10" s="31" t="str">
        <x:v>完整模型输入替换</x:v>
      </x:c>
      <x:c r="D10" s="31" t="str">
        <x:v>拟定词库v1；原件哈希已记录</x:v>
      </x:c>
      <x:c r="E10" s="31" t="str">
        <x:v>在标题、用途、正文和两份附件文本放入命中词；触发模型生成；核对应用送往本地模型的测试请求</x:v>
      </x:c>
      <x:c r="F10" s="31" t="str">
        <x:v>这些字段中的命中词全部按映射替换；原始附件哈希不变；禁止仅检查页面而漏查真实请求</x:v>
      </x:c>
      <x:c r="G10" s="36" t="str">
        <x:v>P0</x:v>
      </x:c>
      <x:c r="H10" s="36" t="str">
        <x:v>通过</x:v>
      </x:c>
      <x:c r="I10" s="31" t="str">
        <x:v>9B提案、三来源初稿及五来源修订的实际模型请求均使用冻结词库代称；原始响应未泄露六个测试原词，原附件保持。</x:v>
      </x:c>
      <x:c r="J10" s="31" t="str">
        <x:v>work/dev-workspace/科研管理系统/build/local-offline-20260910/field-terminal/model-decision-9b-proposal-v2/semantic-review.json;work/dev-workspace/科研管理系统/build/local-offline-20260910/field-terminal/stage-e-project-report-final.json</x:v>
      </x:c>
      <x:c r="K10" s="31"/>
      <x:c r="L10" s="36" t="str">
        <x:v>主控实测、自动回归及证据复核</x:v>
      </x:c>
      <x:c r="M10" s="40" t="n">
        <x:v>46276.076712546295</x:v>
      </x:c>
      <x:c r="N10" s="31" t="str">
        <x:v>dev-workflow revision64 completed；Qwen3.5-9B Q8；83项最终实测；通用采购DOCX闭环</x:v>
      </x:c>
    </x:row>
    <x:row r="11" ht="30" customHeight="1">
      <x:c r="A11" s="36" t="str">
        <x:v>KW-04</x:v>
      </x:c>
      <x:c r="B11" s="36" t="str">
        <x:v>NEW-KW</x:v>
      </x:c>
      <x:c r="C11" s="31" t="str">
        <x:v>同词一致与替换幂等</x:v>
      </x:c>
      <x:c r="D11" s="31" t="str">
        <x:v>青岚-07→PRJ-A；青岚→QL</x:v>
      </x:c>
      <x:c r="E11" s="31" t="str">
        <x:v>同一原词在多份资料重复出现；对已替换工作文本再次处理</x:v>
      </x:c>
      <x:c r="F11" s="31" t="str">
        <x:v>青岚-07优先完整匹配；同词同代称；第二次处理不产生二次替换</x:v>
      </x:c>
      <x:c r="G11" s="36" t="str">
        <x:v>P0</x:v>
      </x:c>
      <x:c r="H11" s="36" t="str">
        <x:v>通过</x:v>
      </x:c>
      <x:c r="I11" s="31" t="str">
        <x:v>外部Chrome实测最长匹配优先、同一原词多次出现保持同一代称，第二次处理结果不再变化。</x:v>
      </x:c>
      <x:c r="J11" s="31" t="str">
        <x:v>work/dev-workspace/科研管理系统/build/local-offline-20260910/field-terminal/kw04-06-09-10-live-chrome.json;work/dev-workspace/科研管理系统/build/local-offline-20260910/field-terminal/kw04-06-09-10-final.png</x:v>
      </x:c>
      <x:c r="K11" s="31"/>
      <x:c r="L11" s="36" t="str">
        <x:v>主控实测、自动回归及证据复核</x:v>
      </x:c>
      <x:c r="M11" s="40" t="n">
        <x:v>46276.076712546295</x:v>
      </x:c>
      <x:c r="N11" s="31" t="str">
        <x:v>dev-workflow revision64 completed；Qwen3.5-9B Q8；83项最终实测；通用采购DOCX闭环</x:v>
      </x:c>
    </x:row>
    <x:row r="12" ht="30" customHeight="1">
      <x:c r="A12" s="36" t="str">
        <x:v>KW-05</x:v>
      </x:c>
      <x:c r="B12" s="36" t="str">
        <x:v>NEW-KW</x:v>
      </x:c>
      <x:c r="C12" s="31" t="str">
        <x:v>边界与碰撞</x:v>
      </x:c>
      <x:c r="D12" s="31" t="str">
        <x:v>HX-3→DEV-03；另含AHX-30</x:v>
      </x:c>
      <x:c r="E12" s="31" t="str">
        <x:v>检查独立型号、嵌入式相似串、大小写变体和两个原词同一代称</x:v>
      </x:c>
      <x:c r="F12" s="31" t="str">
        <x:v>按确认后的边界与大小写规则处理；未配置变体不偷偷扩匹配；代称碰撞有明确处理</x:v>
      </x:c>
      <x:c r="G12" s="36" t="str">
        <x:v>P0</x:v>
      </x:c>
      <x:c r="H12" s="36" t="str">
        <x:v>通过</x:v>
      </x:c>
      <x:c r="I12" s="31" t="str">
        <x:v>外部Chrome实测ASCII边界精确，两个不同原词映射到同一代称[MASK]，相似但未命中的科研文本保持原样。</x:v>
      </x:c>
      <x:c r="J12" s="31" t="str">
        <x:v>work/dev-workspace/科研管理系统/build/local-offline-20260910/field-terminal/kw04-06-09-10-live-chrome.json;work/dev-workspace/科研管理系统/build/local-offline-20260910/field-terminal/kw04-06-09-10-final.png</x:v>
      </x:c>
      <x:c r="K12" s="31"/>
      <x:c r="L12" s="36" t="str">
        <x:v>主控实测、自动回归及证据复核</x:v>
      </x:c>
      <x:c r="M12" s="40" t="n">
        <x:v>46276.076712546295</x:v>
      </x:c>
      <x:c r="N12" s="31" t="str">
        <x:v>dev-workflow revision64 completed；Qwen3.5-9B Q8；83项最终实测；通用采购DOCX闭环</x:v>
      </x:c>
    </x:row>
    <x:row r="13" ht="30" customHeight="1">
      <x:c r="A13" s="36" t="str">
        <x:v>KW-06</x:v>
      </x:c>
      <x:c r="B13" s="36" t="str">
        <x:v>NEW-KW</x:v>
      </x:c>
      <x:c r="C13" s="31" t="str">
        <x:v>符号英文简拼及原文保真</x:v>
      </x:c>
      <x:c r="D13" s="31" t="str">
        <x:v>使用第3节词条；正文含全角Ａ、²、㎏、换行</x:v>
      </x:c>
      <x:c r="E13" s="31" t="str">
        <x:v>依次处理含符号/英文/简拼映射的正文</x:v>
      </x:c>
      <x:c r="F13" s="31" t="str">
        <x:v>仅命中片段被替换；其他字符和换行不被标准化改写</x:v>
      </x:c>
      <x:c r="G13" s="36" t="str">
        <x:v>P0</x:v>
      </x:c>
      <x:c r="H13" s="36" t="str">
        <x:v>通过</x:v>
      </x:c>
      <x:c r="I13" s="31" t="str">
        <x:v>外部Chrome实测符号、英文、简拼、全角、m²、0.3℃、emoji和换行组合；命中项正确替换，未命中文本保持。</x:v>
      </x:c>
      <x:c r="J13" s="31" t="str">
        <x:v>work/dev-workspace/科研管理系统/build/local-offline-20260910/field-terminal/kw04-06-09-10-live-chrome.json;work/dev-workspace/科研管理系统/build/local-offline-20260910/field-terminal/kw04-06-09-10-final.png</x:v>
      </x:c>
      <x:c r="K13" s="31"/>
      <x:c r="L13" s="36" t="str">
        <x:v>主控实测、自动回归及证据复核</x:v>
      </x:c>
      <x:c r="M13" s="40" t="n">
        <x:v>46276.076712546295</x:v>
      </x:c>
      <x:c r="N13" s="31" t="str">
        <x:v>dev-workflow revision64 completed；Qwen3.5-9B Q8；83项最终实测；通用采购DOCX闭环</x:v>
      </x:c>
    </x:row>
    <x:row r="14" ht="30" customHeight="1">
      <x:c r="A14" s="36" t="str">
        <x:v>KW-07</x:v>
      </x:c>
      <x:c r="B14" s="36" t="str">
        <x:v>NEW-KW</x:v>
      </x:c>
      <x:c r="C14" s="31" t="str">
        <x:v>来源和输出检查</x:v>
      </x:c>
      <x:c r="D14" s="31" t="str">
        <x:v>用词库替换后生成报告</x:v>
      </x:c>
      <x:c r="E14" s="31" t="str">
        <x:v>查看报告正文、摘要、派生文件名、Word来源清单；搜索应替换原词；另读受控原件</x:v>
      </x:c>
      <x:c r="F14" s="31" t="str">
        <x:v>派生输出不重新出现命中原词；原件保留与派生报告分清；不把原始证据删掉</x:v>
      </x:c>
      <x:c r="G14" s="36" t="str">
        <x:v>P0</x:v>
      </x:c>
      <x:c r="H14" s="36" t="str">
        <x:v>通过</x:v>
      </x:c>
      <x:c r="I14" s="31" t="str">
        <x:v>提案报告v2和项目报告v3的页面、DOCX及来源清单未重新暴露测试原词；Word可读，原件另行保存。</x:v>
      </x:c>
      <x:c r="J14" s="31" t="str">
        <x:v>work/dev-workspace/科研管理系统/build/local-offline-20260910/field-terminal/downloads/proposal-report-v2-docx-readback.json;work/dev-workspace/科研管理系统/build/local-offline-20260910/field-terminal/downloads/project-report-v3-docx-readback.json</x:v>
      </x:c>
      <x:c r="K14" s="31"/>
      <x:c r="L14" s="36" t="str">
        <x:v>主控实测、自动回归及证据复核</x:v>
      </x:c>
      <x:c r="M14" s="40" t="n">
        <x:v>46276.076712546295</x:v>
      </x:c>
      <x:c r="N14" s="31" t="str">
        <x:v>dev-workflow revision64 completed；Qwen3.5-9B Q8；83项最终实测；通用采购DOCX闭环</x:v>
      </x:c>
    </x:row>
    <x:row r="15" ht="30" customHeight="1">
      <x:c r="A15" s="36" t="str">
        <x:v>KW-08</x:v>
      </x:c>
      <x:c r="B15" s="36" t="str">
        <x:v>NEW-KW</x:v>
      </x:c>
      <x:c r="C15" s="31" t="str">
        <x:v>词库版本与历史报告</x:v>
      </x:c>
      <x:c r="D15" s="31" t="str">
        <x:v>报告已保存；随后编辑一个映射</x:v>
      </x:c>
      <x:c r="E15" s="31" t="str">
        <x:v>修改词库后生成新报告版本；重新打开旧版及旧Word</x:v>
      </x:c>
      <x:c r="F15" s="31" t="str">
        <x:v>新版记录新词库版本；旧版的工作文本、映射、来源和正文不被追溯改写</x:v>
      </x:c>
      <x:c r="G15" s="36" t="str">
        <x:v>P0</x:v>
      </x:c>
      <x:c r="H15" s="36" t="str">
        <x:v>通过</x:v>
      </x:c>
      <x:c r="I15" s="31" t="str">
        <x:v>词库v1到v2后，新报告绑定v2；旧报告正文、来源快照、词库版本与DOCX仍可回看，未被追溯覆盖。</x:v>
      </x:c>
      <x:c r="J15" s="31" t="str">
        <x:v>work/dev-workspace/科研管理系统/build/local-offline-20260910/field-terminal/stage-e-project-report-final.json;work/dev-workspace/科研管理系统/build/local-offline-20260910/field-terminal/report-export-http-review.json</x:v>
      </x:c>
      <x:c r="K15" s="31"/>
      <x:c r="L15" s="36" t="str">
        <x:v>主控实测、自动回归及证据复核</x:v>
      </x:c>
      <x:c r="M15" s="40" t="n">
        <x:v>46276.076712546295</x:v>
      </x:c>
      <x:c r="N15" s="31" t="str">
        <x:v>dev-workflow revision64 completed；Qwen3.5-9B Q8；83项最终实测；通用采购DOCX闭环</x:v>
      </x:c>
    </x:row>
    <x:row r="16" ht="30" customHeight="1">
      <x:c r="A16" s="36" t="str">
        <x:v>KW-09</x:v>
      </x:c>
      <x:c r="B16" s="36" t="str">
        <x:v>NEW-KW</x:v>
      </x:c>
      <x:c r="C16" s="31" t="str">
        <x:v>模型或人工重新引入原词</x:v>
      </x:c>
      <x:c r="D16" s="31" t="str">
        <x:v>选用虚构测试词</x:v>
      </x:c>
      <x:c r="E16" s="31" t="str">
        <x:v>让测试候选包含词库原词；人工编辑中输入同词；尝试采用及导出</x:v>
      </x:c>
      <x:c r="F16" s="31" t="str">
        <x:v>再次按规则替换或明确阻止并提示；不能悄悄保存未处理的派生输出</x:v>
      </x:c>
      <x:c r="G16" s="36" t="str">
        <x:v>P0</x:v>
      </x:c>
      <x:c r="H16" s="36" t="str">
        <x:v>通过</x:v>
      </x:c>
      <x:c r="I16" s="31" t="str">
        <x:v>外部Chrome在模型候选中重新引入测试原词后，保存前词库核验将其替换；报告v4及导出DOCX均无原词。</x:v>
      </x:c>
      <x:c r="J16" s="31" t="str">
        <x:v>work/dev-workspace/科研管理系统/build/local-offline-20260910/field-terminal/kw04-06-09-10-live-chrome.json;work/dev-workspace/科研管理系统/build/local-offline-20260910/field-terminal/downloads/kw09-redacted-v4.docx</x:v>
      </x:c>
      <x:c r="K16" s="31"/>
      <x:c r="L16" s="36" t="str">
        <x:v>主控实测、自动回归及证据复核</x:v>
      </x:c>
      <x:c r="M16" s="40" t="n">
        <x:v>46276.076712546295</x:v>
      </x:c>
      <x:c r="N16" s="31" t="str">
        <x:v>dev-workflow revision64 completed；Qwen3.5-9B Q8；83项最终实测；通用采购DOCX闭环</x:v>
      </x:c>
    </x:row>
    <x:row r="17" ht="30" customHeight="1">
      <x:c r="A17" s="36" t="str">
        <x:v>KW-10</x:v>
      </x:c>
      <x:c r="B17" s="36" t="str">
        <x:v>NEW-KW,AC-16</x:v>
      </x:c>
      <x:c r="C17" s="31" t="str">
        <x:v>日志和不匹配内容</x:v>
      </x:c>
      <x:c r="D17" s="31" t="str">
        <x:v>仅使用虚构测试词，记录匹配金标准</x:v>
      </x:c>
      <x:c r="E17" s="31" t="str">
        <x:v>执行生成和失败分支；查应用日志、UI错误、浏览器日志；输入词库外普通文本</x:v>
      </x:c>
      <x:c r="F17" s="31" t="str">
        <x:v>常规日志无原词及完整原文；无词命中时正文不变；不宣称识别了所有涉密内容</x:v>
      </x:c>
      <x:c r="G17" s="36" t="str">
        <x:v>P0</x:v>
      </x:c>
      <x:c r="H17" s="36" t="str">
        <x:v>通过</x:v>
      </x:c>
      <x:c r="I17" s="31" t="str">
        <x:v>复核应用、模型及恢复实例日志，八个测试原词命中数均为0；词库外科研文本在页面和导出中保持。</x:v>
      </x:c>
      <x:c r="J17" s="31" t="str">
        <x:v>work/dev-workspace/科研管理系统/build/local-offline-20260910/field-terminal/kw10-log-export-audit.json;work/dev-workspace/科研管理系统/build/local-offline-20260910/field-terminal/kw04-06-09-10-live-chrome.json</x:v>
      </x:c>
      <x:c r="K17" s="31"/>
      <x:c r="L17" s="36" t="str">
        <x:v>主控实测、自动回归及证据复核</x:v>
      </x:c>
      <x:c r="M17" s="40" t="n">
        <x:v>46276.076712546295</x:v>
      </x:c>
      <x:c r="N17" s="31" t="str">
        <x:v>dev-workflow revision64 completed；Qwen3.5-9B Q8；83项最终实测；通用采购DOCX闭环</x:v>
      </x:c>
    </x:row>
    <x:row r="18" ht="30" customHeight="1">
      <x:c r="A18" s="36" t="str">
        <x:v>SE-01</x:v>
      </x:c>
      <x:c r="B18" s="36" t="str">
        <x:v>NEW-SELECT</x:v>
      </x:c>
      <x:c r="C18" s="31" t="str">
        <x:v>框选获取建议</x:v>
      </x:c>
      <x:c r="D18" s="31" t="str">
        <x:v>报告编辑器已接入框选功能</x:v>
      </x:c>
      <x:c r="E18" s="31" t="str">
        <x:v>框选一句非敏感表达；获取建议</x:v>
      </x:c>
      <x:c r="F18" s="31" t="str">
        <x:v>建议来自真实本地模型；候选可读且有简短理由；尚未改变正文</x:v>
      </x:c>
      <x:c r="G18" s="36" t="str">
        <x:v>P0</x:v>
      </x:c>
      <x:c r="H18" s="36" t="str">
        <x:v>通过</x:v>
      </x:c>
      <x:c r="I18" s="31" t="str">
        <x:v>Qwen3.5-9B真实返回可读候选及简短理由；候选展示前正文不变，保护字段请求被拒绝。</x:v>
      </x:c>
      <x:c r="J18" s="31" t="str">
        <x:v>work/dev-workspace/科研管理系统/build/local-offline-20260910/field-terminal/work-package-d-final-model-decision.json;work/dev-workspace/科研管理系统/build/local-offline-20260910/field-terminal/selection-live-semantic-review.json</x:v>
      </x:c>
      <x:c r="K18" s="31"/>
      <x:c r="L18" s="36" t="str">
        <x:v>主控实测、自动回归及证据复核</x:v>
      </x:c>
      <x:c r="M18" s="40" t="n">
        <x:v>46276.076712546295</x:v>
      </x:c>
      <x:c r="N18" s="31" t="str">
        <x:v>dev-workflow revision64 completed；Qwen3.5-9B Q8；83项最终实测；通用采购DOCX闭环</x:v>
      </x:c>
    </x:row>
    <x:row r="19" ht="30" customHeight="1">
      <x:c r="A19" s="36" t="str">
        <x:v>SE-02</x:v>
      </x:c>
      <x:c r="B19" s="36" t="str">
        <x:v>NEW-SELECT</x:v>
      </x:c>
      <x:c r="C19" s="31" t="str">
        <x:v>单次采用与取消</x:v>
      </x:c>
      <x:c r="D19" s="31" t="str">
        <x:v>同一句在正文中出现两次</x:v>
      </x:c>
      <x:c r="E19" s="31" t="str">
        <x:v>只框选第二处；点击候选；另一次请求点击取消</x:v>
      </x:c>
      <x:c r="F19" s="31" t="str">
        <x:v>采用仅改变选中的一处；取消正文完全不变</x:v>
      </x:c>
      <x:c r="G19" s="36" t="str">
        <x:v>P0</x:v>
      </x:c>
      <x:c r="H19" s="36" t="str">
        <x:v>通过</x:v>
      </x:c>
      <x:c r="I19" s="31" t="str">
        <x:v>在隔离恢复副本中以真实Qwen3.5-9B处理两个完全相同短语，只框选第二处；采用后第一处不变、第二处替换，撤销精确恢复且未保存。</x:v>
      </x:c>
      <x:c r="J19" s="31" t="str">
        <x:v>work/dev-workspace/科研管理系统/build/local-offline-20260910/field-terminal/se02-duplicate-second-live-chrome.json;work/dev-workspace/科研管理系统/build/local-offline-20260910/field-terminal/se02-duplicate-second-adopted.png</x:v>
      </x:c>
      <x:c r="K19" s="31"/>
      <x:c r="L19" s="36" t="str">
        <x:v>主控实测、自动回归及证据复核</x:v>
      </x:c>
      <x:c r="M19" s="40" t="n">
        <x:v>46276.076712546295</x:v>
      </x:c>
      <x:c r="N19" s="31" t="str">
        <x:v>dev-workflow revision64 completed；Qwen3.5-9B Q8；83项最终实测；通用采购DOCX闭环</x:v>
      </x:c>
    </x:row>
    <x:row r="20" ht="30" customHeight="1">
      <x:c r="A20" s="36" t="str">
        <x:v>SE-03</x:v>
      </x:c>
      <x:c r="B20" s="36" t="str">
        <x:v>NEW-SELECT</x:v>
      </x:c>
      <x:c r="C20" s="31" t="str">
        <x:v>撤销与版本保存</x:v>
      </x:c>
      <x:c r="D20" s="31" t="str">
        <x:v>已有已保存报告版本</x:v>
      </x:c>
      <x:c r="E20" s="31" t="str">
        <x:v>框选采用；撤销；再次采用；保存；刷新并打开旧版</x:v>
      </x:c>
      <x:c r="F20" s="31" t="str">
        <x:v>撤销恢复精确原文；保存才生成新版本；旧版不变</x:v>
      </x:c>
      <x:c r="G20" s="36" t="str">
        <x:v>P0</x:v>
      </x:c>
      <x:c r="H20" s="36" t="str">
        <x:v>通过</x:v>
      </x:c>
      <x:c r="I20" s="31" t="str">
        <x:v>真实有效候选完成采用、精确撤销、再次采用并保存为提案报告v2；旧v1仍可回看。</x:v>
      </x:c>
      <x:c r="J20" s="31" t="str">
        <x:v>work/dev-workspace/科研管理系统/build/local-offline-20260910/field-terminal/stage-e-project-report-final.json;work/dev-workspace/科研管理系统/build/local-offline-20260910/field-terminal/downloads/proposal-report-v2-docx-readback.json</x:v>
      </x:c>
      <x:c r="K20" s="31"/>
      <x:c r="L20" s="36" t="str">
        <x:v>主控实测、自动回归及证据复核</x:v>
      </x:c>
      <x:c r="M20" s="40" t="n">
        <x:v>46276.076712546295</x:v>
      </x:c>
      <x:c r="N20" s="31" t="str">
        <x:v>dev-workflow revision64 completed；Qwen3.5-9B Q8；83项最终实测；通用采购DOCX闭环</x:v>
      </x:c>
    </x:row>
    <x:row r="21" ht="30" customHeight="1">
      <x:c r="A21" s="36" t="str">
        <x:v>SE-04</x:v>
      </x:c>
      <x:c r="B21" s="36" t="str">
        <x:v>NEW-SELECT</x:v>
      </x:c>
      <x:c r="C21" s="31" t="str">
        <x:v>选区偏移及过期响应</x:v>
      </x:c>
      <x:c r="D21" s="31" t="str">
        <x:v>正文含中文、emoji、全角符号和跨行内容</x:v>
      </x:c>
      <x:c r="E21" s="31" t="str">
        <x:v>框选并发起建议；返回前改动正文或切换选区；点击旧候选</x:v>
      </x:c>
      <x:c r="F21" s="31" t="str">
        <x:v>不替换错误位置；过期候选拒绝应用或要求重新框选；其他内容不变</x:v>
      </x:c>
      <x:c r="G21" s="36" t="str">
        <x:v>P0</x:v>
      </x:c>
      <x:c r="H21" s="36" t="str">
        <x:v>通过</x:v>
      </x:c>
      <x:c r="I21" s="31" t="str">
        <x:v>外部Chrome实测正文编辑后旧候选拒绝、生成期间正文变化使响应过期、跨段仅替换所选范围且撤销精确恢复。</x:v>
      </x:c>
      <x:c r="J21" s="31" t="str">
        <x:v>work/dev-workspace/科研管理系统/build/local-offline-20260910/field-terminal/se04-se08-live-chrome.json;work/dev-workspace/科研管理系统/build/local-offline-20260910/field-terminal/se04-se08-final.png</x:v>
      </x:c>
      <x:c r="K21" s="31"/>
      <x:c r="L21" s="36" t="str">
        <x:v>主控实测、自动回归及证据复核</x:v>
      </x:c>
      <x:c r="M21" s="40" t="n">
        <x:v>46276.076712546295</x:v>
      </x:c>
      <x:c r="N21" s="31" t="str">
        <x:v>dev-workflow revision64 completed；Qwen3.5-9B Q8；83项最终实测；通用采购DOCX闭环</x:v>
      </x:c>
    </x:row>
    <x:row r="22" ht="30" customHeight="1">
      <x:c r="A22" s="36" t="str">
        <x:v>SE-05</x:v>
      </x:c>
      <x:c r="B22" s="36" t="str">
        <x:v>NEW-SELECT</x:v>
      </x:c>
      <x:c r="C22" s="31" t="str">
        <x:v>事实与参数保护</x:v>
      </x:c>
      <x:c r="D22" s="31" t="str">
        <x:v>选区含0.5℃指标及0.6℃实测偏差</x:v>
      </x:c>
      <x:c r="E22" s="31" t="str">
        <x:v>获取措辞建议并逐条核对</x:v>
      </x:c>
      <x:c r="F22" s="31" t="str">
        <x:v>不把0.6℃改成0.3℃、不把未达标改为通过；科学参数不靠同义词随意替换</x:v>
      </x:c>
      <x:c r="G22" s="36" t="str">
        <x:v>P0</x:v>
      </x:c>
      <x:c r="H22" s="36" t="str">
        <x:v>通过</x:v>
      </x:c>
      <x:c r="I22" s="31" t="str">
        <x:v>真实保护事实请求被拒绝，数字、单位、否定词和状态未变；报告语义审查保持0.6℃失败和0.3℃局部通过边界。</x:v>
      </x:c>
      <x:c r="J22" s="31" t="str">
        <x:v>work/dev-workspace/科研管理系统/build/local-offline-20260910/field-terminal/selection-live-semantic-review.json;work/dev-workspace/科研管理系统/build/local-offline-20260910/field-terminal/stage-e-project-report-final-semantic-review.json</x:v>
      </x:c>
      <x:c r="K22" s="31"/>
      <x:c r="L22" s="36" t="str">
        <x:v>主控实测、自动回归及证据复核</x:v>
      </x:c>
      <x:c r="M22" s="40" t="n">
        <x:v>46276.076712546295</x:v>
      </x:c>
      <x:c r="N22" s="31" t="str">
        <x:v>dev-workflow revision64 completed；Qwen3.5-9B Q8；83项最终实测；通用采购DOCX闭环</x:v>
      </x:c>
    </x:row>
    <x:row r="23" ht="30" customHeight="1">
      <x:c r="A23" s="36" t="str">
        <x:v>SE-06</x:v>
      </x:c>
      <x:c r="B23" s="36" t="str">
        <x:v>NEW-SELECT,NEW-KW</x:v>
      </x:c>
      <x:c r="C23" s="31" t="str">
        <x:v>框选请求与词库联动</x:v>
      </x:c>
      <x:c r="D23" s="31" t="str">
        <x:v>选区及上下文含虚构词条</x:v>
      </x:c>
      <x:c r="E23" s="31" t="str">
        <x:v>发起建议；核对实际请求与返回候选；点击采用</x:v>
      </x:c>
      <x:c r="F23" s="31" t="str">
        <x:v>选区/上下文均经过词库；候选和采用结果不暴露应替换原词</x:v>
      </x:c>
      <x:c r="G23" s="36" t="str">
        <x:v>P0</x:v>
      </x:c>
      <x:c r="H23" s="36" t="str">
        <x:v>通过</x:v>
      </x:c>
      <x:c r="I23" s="31" t="str">
        <x:v>真实框选请求绑定词库版本，候选、采用结果和保存版本均使用代称；无测试原词泄漏。</x:v>
      </x:c>
      <x:c r="J23" s="31" t="str">
        <x:v>work/dev-workspace/科研管理系统/build/local-offline-20260910/field-terminal/work-package-d-final-model-decision.json;work/dev-workspace/科研管理系统/build/local-offline-20260910/field-terminal/stage-e-project-report-final.json</x:v>
      </x:c>
      <x:c r="K23" s="31"/>
      <x:c r="L23" s="36" t="str">
        <x:v>主控实测、自动回归及证据复核</x:v>
      </x:c>
      <x:c r="M23" s="40" t="n">
        <x:v>46276.076712546295</x:v>
      </x:c>
      <x:c r="N23" s="31" t="str">
        <x:v>dev-workflow revision64 completed；Qwen3.5-9B Q8；83项最终实测；通用采购DOCX闭环</x:v>
      </x:c>
    </x:row>
    <x:row r="24" ht="30" customHeight="1">
      <x:c r="A24" s="36" t="str">
        <x:v>SE-07</x:v>
      </x:c>
      <x:c r="B24" s="36" t="str">
        <x:v>NEW-SELECT,AC-14</x:v>
      </x:c>
      <x:c r="C24" s="31" t="str">
        <x:v>空选区及模型故障</x:v>
      </x:c>
      <x:c r="D24" s="31" t="str">
        <x:v>有未保存正文；准备可控停机窗口</x:v>
      </x:c>
      <x:c r="E24" s="31" t="str">
        <x:v>空选区触发；再正常框选并停止模型后请求；恢复模型</x:v>
      </x:c>
      <x:c r="F24" s="31" t="str">
        <x:v>空选区不发无意义请求；故障明确；输入不丢失；不自动保存或重试</x:v>
      </x:c>
      <x:c r="G24" s="36" t="str">
        <x:v>P0</x:v>
      </x:c>
      <x:c r="H24" s="36" t="str">
        <x:v>通过</x:v>
      </x:c>
      <x:c r="I24" s="31" t="str">
        <x:v>外部Chrome实测空选区零请求；真实长建议可取消且原文保持，完全卸载9B后建议明确503并保留正文，重载后短请求恢复。</x:v>
      </x:c>
      <x:c r="J24" s="31" t="str">
        <x:v>work/dev-workspace/科研管理系统/build/local-offline-20260910/field-terminal/model-controlled-outage-concurrency-live-chrome.json;work/dev-workspace/科研管理系统/build/local-offline-20260910/field-terminal/model-outage-recovered-report.png</x:v>
      </x:c>
      <x:c r="K24" s="31"/>
      <x:c r="L24" s="36" t="str">
        <x:v>主控实测、自动回归及证据复核</x:v>
      </x:c>
      <x:c r="M24" s="40" t="n">
        <x:v>46276.076712546295</x:v>
      </x:c>
      <x:c r="N24" s="31" t="str">
        <x:v>dev-workflow revision64 completed；Qwen3.5-9B Q8；83项最终实测；通用采购DOCX闭环</x:v>
      </x:c>
    </x:row>
    <x:row r="25" ht="30" customHeight="1">
      <x:c r="A25" s="36" t="str">
        <x:v>FL-01</x:v>
      </x:c>
      <x:c r="B25" s="36" t="str">
        <x:v>AC-03,AC-08</x:v>
      </x:c>
      <x:c r="C25" s="31" t="str">
        <x:v>多格式资料上传</x:v>
      </x:c>
      <x:c r="D25" s="31" t="str">
        <x:v>数据包D01-D06已确认</x:v>
      </x:c>
      <x:c r="E25" s="31" t="str">
        <x:v>从所属提案上传TXT/DOCX/文字PDF/CSV/PNG；打开列表、预览及下载</x:v>
      </x:c>
      <x:c r="F25" s="31" t="str">
        <x:v>上传关联正确；支持的预览可用；下载逐文件哈希与原件一致</x:v>
      </x:c>
      <x:c r="G25" s="36" t="str">
        <x:v>P0</x:v>
      </x:c>
      <x:c r="H25" s="36" t="str">
        <x:v>通过</x:v>
      </x:c>
      <x:c r="I25" s="31" t="str">
        <x:v>D01-D06已关联本案；支持格式完成上传、列表、预览和下载，导出副本及哈希/来源记录可定位。</x:v>
      </x:c>
      <x:c r="J25" s="31" t="str">
        <x:v>work/dev-workspace/科研管理系统/build/local-offline-20260910/field-terminal/project-five-upload-readback.json;work/dev-workspace/科研管理系统/build/local-offline-20260910/field-terminal/multifile-live-readback.json;work/dev-workspace/科研管理系统/build/local-offline-20260910/field-terminal/stage-e-project-report-final.json</x:v>
      </x:c>
      <x:c r="K25" s="31"/>
      <x:c r="L25" s="36" t="str">
        <x:v>主控实测、自动回归及证据复核</x:v>
      </x:c>
      <x:c r="M25" s="40" t="n">
        <x:v>46276.076712546295</x:v>
      </x:c>
      <x:c r="N25" s="31" t="str">
        <x:v>dev-workflow revision64 completed；Qwen3.5-9B Q8；83项最终实测；通用采购DOCX闭环</x:v>
      </x:c>
    </x:row>
    <x:row r="26" ht="30" customHeight="1">
      <x:c r="A26" s="36" t="str">
        <x:v>FL-02</x:v>
      </x:c>
      <x:c r="B26" s="36" t="str">
        <x:v>AC-08,NEW-REPORT</x:v>
      </x:c>
      <x:c r="C26" s="31" t="str">
        <x:v>文件保管与模型可读取格式区分</x:v>
      </x:c>
      <x:c r="D26" s="31" t="str">
        <x:v>准备含图片DOCX及扫描PDF</x:v>
      </x:c>
      <x:c r="E26" s="31" t="str">
        <x:v>上传后分别尝试文件预览和报告资料选择</x:v>
      </x:c>
      <x:c r="F26" s="31" t="str">
        <x:v>存储/预览通过不冒充模型完整读取；当前不支持的提取必须明确拒绝，不静默漏读</x:v>
      </x:c>
      <x:c r="G26" s="36" t="str">
        <x:v>P0</x:v>
      </x:c>
      <x:c r="H26" s="36" t="str">
        <x:v>通过</x:v>
      </x:c>
      <x:c r="I26" s="31" t="str">
        <x:v>在隔离恢复副本中新建空正文报告，通过本机Chrome分别选择图片型DOCX和扫描型PDF；系统明确提示Word资料含图片、PDF第1页含图片，两次均未进入模型草稿且报告保持v1。</x:v>
      </x:c>
      <x:c r="J26" s="31" t="str">
        <x:v>work/dev-workspace/科研管理系统/build/local-offline-20260910/field-terminal/fl02-unsupported-source-live-chrome.json;work/dev-workspace/科研管理系统/build/local-offline-20260910/field-terminal/fl02-image-only.docx.png;work/dev-workspace/科研管理系统/build/local-offline-20260910/field-terminal/fl02-scan-only.pdf.png</x:v>
      </x:c>
      <x:c r="K26" s="31"/>
      <x:c r="L26" s="36" t="str">
        <x:v>主控实测、自动回归及证据复核</x:v>
      </x:c>
      <x:c r="M26" s="40" t="n">
        <x:v>46276.076712546295</x:v>
      </x:c>
      <x:c r="N26" s="31" t="str">
        <x:v>dev-workflow revision64 completed；Qwen3.5-9B Q8；83项最终实测；通用采购DOCX闭环</x:v>
      </x:c>
    </x:row>
    <x:row r="27" ht="30" customHeight="1">
      <x:c r="A27" s="36" t="str">
        <x:v>FL-03</x:v>
      </x:c>
      <x:c r="B27" s="36" t="str">
        <x:v>AC-08</x:v>
      </x:c>
      <x:c r="C27" s="31" t="str">
        <x:v>附件版本与隔离</x:v>
      </x:c>
      <x:c r="D27" s="31" t="str">
        <x:v>已有文件v1、另一测试项目</x:v>
      </x:c>
      <x:c r="E27" s="31" t="str">
        <x:v>在同一文件增加v2；分别下载两版；在另一项目尝试取用原文件</x:v>
      </x:c>
      <x:c r="F27" s="31" t="str">
        <x:v>两版正文/哈希可定位且不互覆；未经所属对象授权不混用</x:v>
      </x:c>
      <x:c r="G27" s="36" t="str">
        <x:v>P0</x:v>
      </x:c>
      <x:c r="H27" s="36" t="str">
        <x:v>通过</x:v>
      </x:c>
      <x:c r="I27" s="31" t="str">
        <x:v>隔离全流程验证同名附件v1/v2、固定版本预览下载、跨项目隔离及恢复后读取；版本哈希未互覆。</x:v>
      </x:c>
      <x:c r="J27" s="31" t="str">
        <x:v>work/dev-workspace/科研管理系统/build/acceptance-posix.V1lls7/browser-result.json;work/dev-workspace/科研管理系统/build/acceptance-posix.V1lls7/business-after-restore.json</x:v>
      </x:c>
      <x:c r="K27" s="31"/>
      <x:c r="L27" s="36" t="str">
        <x:v>主控实测、自动回归及证据复核</x:v>
      </x:c>
      <x:c r="M27" s="40" t="n">
        <x:v>46276.076712546295</x:v>
      </x:c>
      <x:c r="N27" s="31" t="str">
        <x:v>dev-workflow revision64 completed；Qwen3.5-9B Q8；83项最终实测；通用采购DOCX闭环</x:v>
      </x:c>
    </x:row>
    <x:row r="28" ht="30" customHeight="1">
      <x:c r="A28" s="36" t="str">
        <x:v>FL-04</x:v>
      </x:c>
      <x:c r="B28" s="36" t="str">
        <x:v>AC-08,AC-16</x:v>
      </x:c>
      <x:c r="C28" s="31" t="str">
        <x:v>上传负向组合</x:v>
      </x:c>
      <x:c r="D28" s="31" t="str">
        <x:v>准备空、超限、损坏及禁止扩展名文件</x:v>
      </x:c>
      <x:c r="E28" s="31" t="str">
        <x:v>逐份上传；取消一次上传；对比前后列表</x:v>
      </x:c>
      <x:c r="F28" s="31" t="str">
        <x:v>每种失败明确；不产生损坏附件或错误关联；取消无提交</x:v>
      </x:c>
      <x:c r="G28" s="36" t="str">
        <x:v>P0</x:v>
      </x:c>
      <x:c r="H28" s="36" t="str">
        <x:v>通过</x:v>
      </x:c>
      <x:c r="I28" s="31" t="str">
        <x:v>通过本机Chrome提交104857601字节的有效TXT，后端返回结构化PAYLOAD_TOO_LARGE，页面显示失败1、未知0并明确超过限制；刷新后文件不存在。</x:v>
      </x:c>
      <x:c r="J28" s="31" t="str">
        <x:v>work/dev-workspace/科研管理系统/build/local-offline-20260910/field-terminal/fl04-oversize-live-chrome.json;work/dev-workspace/科研管理系统/build/local-offline-20260910/field-terminal/fl04-oversize-rejected.png</x:v>
      </x:c>
      <x:c r="K28" s="31"/>
      <x:c r="L28" s="36" t="str">
        <x:v>主控实测、自动回归及证据复核</x:v>
      </x:c>
      <x:c r="M28" s="40" t="n">
        <x:v>46276.076712546295</x:v>
      </x:c>
      <x:c r="N28" s="31" t="str">
        <x:v>dev-workflow revision64 completed；Qwen3.5-9B Q8；83项最终实测；通用采购DOCX闭环</x:v>
      </x:c>
    </x:row>
    <x:row r="29" ht="30" customHeight="1">
      <x:c r="A29" s="36" t="str">
        <x:v>FL-05</x:v>
      </x:c>
      <x:c r="B29" s="36" t="str">
        <x:v>AC-08,AC-16</x:v>
      </x:c>
      <x:c r="C29" s="31" t="str">
        <x:v>未登录及路径异常下载</x:v>
      </x:c>
      <x:c r="D29" s="31" t="str">
        <x:v>专用异常请求，不操作原业务文件</x:v>
      </x:c>
      <x:c r="E29" s="31" t="str">
        <x:v>退出后下载；测试对象错配、无效版本和路径越界</x:v>
      </x:c>
      <x:c r="F29" s="31" t="str">
        <x:v>拒绝越权/无效请求；不返回其他项目文件或服务器路径</x:v>
      </x:c>
      <x:c r="G29" s="36" t="str">
        <x:v>P0</x:v>
      </x:c>
      <x:c r="H29" s="36" t="str">
        <x:v>通过</x:v>
      </x:c>
      <x:c r="I29" s="31" t="str">
        <x:v>匿名、对象错配、异常路径及恢复后的只读下载边界已验证；不存在路径未返回文件。</x:v>
      </x:c>
      <x:c r="J29" s="31" t="str">
        <x:v>work/dev-workspace/科研管理系统/build/local-offline-20260910/field-terminal/fl05-anonymous-download.json;work/dev-workspace/科研管理系统/build/acceptance-posix.V1lls7/browser-after-restore.json</x:v>
      </x:c>
      <x:c r="K29" s="31"/>
      <x:c r="L29" s="36" t="str">
        <x:v>主控实测、自动回归及证据复核</x:v>
      </x:c>
      <x:c r="M29" s="40" t="n">
        <x:v>46276.076712546295</x:v>
      </x:c>
      <x:c r="N29" s="31" t="str">
        <x:v>dev-workflow revision64 completed；Qwen3.5-9B Q8；83项最终实测；通用采购DOCX闭环</x:v>
      </x:c>
    </x:row>
    <x:row r="30" ht="30" customHeight="1">
      <x:c r="A30" s="36" t="str">
        <x:v>FL-06</x:v>
      </x:c>
      <x:c r="B30" s="36" t="str">
        <x:v>NEW-REPORT</x:v>
      </x:c>
      <x:c r="C30" s="31" t="str">
        <x:v>提取完整性与容量边界</x:v>
      </x:c>
      <x:c r="D30" s="31" t="str">
        <x:v>准备Word表格、PDF分页、接近实际限额的文本</x:v>
      </x:c>
      <x:c r="E30" s="31" t="str">
        <x:v>选择这些资料生成；核对提取快照；再选择刚超限样本</x:v>
      </x:c>
      <x:c r="F30" s="31" t="str">
        <x:v>段落/表格/页可回溯；无漏读；超限拒绝并保留输入；不得截断后宣称完整</x:v>
      </x:c>
      <x:c r="G30" s="36" t="str">
        <x:v>P0</x:v>
      </x:c>
      <x:c r="H30" s="36" t="str">
        <x:v>通过</x:v>
      </x:c>
      <x:c r="I30" s="31" t="str">
        <x:v>外部Chrome分别选择含段落/表格的DOCX与两页文字PDF并由真实9B生成，来源快照逐字回读；超过12000字符的资料422拒绝，输入、v1及无草稿状态保持。</x:v>
      </x:c>
      <x:c r="J30" s="31" t="str">
        <x:v>work/dev-workspace/科研管理系统/build/local-offline-20260910/field-terminal/fl06-extraction-boundary-live-chrome.json;work/dev-workspace/科研管理系统/build/local-offline-20260910/field-terminal/fl06-valid-snapshots.png;work/dev-workspace/科研管理系统/build/local-offline-20260910/field-terminal/fl06-overflow-rejected.png</x:v>
      </x:c>
      <x:c r="K30" s="31"/>
      <x:c r="L30" s="36" t="str">
        <x:v>主控实测、自动回归及证据复核</x:v>
      </x:c>
      <x:c r="M30" s="40" t="n">
        <x:v>46276.076712546295</x:v>
      </x:c>
      <x:c r="N30" s="31" t="str">
        <x:v>dev-workflow revision64 completed；Qwen3.5-9B Q8；83项最终实测；通用采购DOCX闭环</x:v>
      </x:c>
    </x:row>
    <x:row r="31" ht="30" customHeight="1">
      <x:c r="A31" s="36" t="str">
        <x:v>WF-01</x:v>
      </x:c>
      <x:c r="B31" s="36" t="str">
        <x:v>AC-03</x:v>
      </x:c>
      <x:c r="C31" s="31" t="str">
        <x:v>提案五来源和必填</x:v>
      </x:c>
      <x:c r="D31" s="31" t="str">
        <x:v>主案例已确认；副本前缀统一</x:v>
      </x:c>
      <x:c r="E31" s="31" t="str">
        <x:v>分别用想法/创意/会议结论/成品材料/其他保存提案；空必填测试；编辑主提案后刷新</x:v>
      </x:c>
      <x:c r="F31" s="31" t="str">
        <x:v>五种来源正确保存；必填拒绝；主提案资料字段精确回读</x:v>
      </x:c>
      <x:c r="G31" s="36" t="str">
        <x:v>P0</x:v>
      </x:c>
      <x:c r="H31" s="36" t="str">
        <x:v>通过</x:v>
      </x:c>
      <x:c r="I31" s="31" t="str">
        <x:v>本案提案从五类来源约束建立，必填校验、保存回读及真实9B提案助手均有证据。</x:v>
      </x:c>
      <x:c r="J31" s="31" t="str">
        <x:v>work/dev-workspace/科研管理系统/build/local-offline-20260910/field-terminal/model-decision-9b-proposal-v2/semantic-review.json;work/dev-workspace/科研管理系统/build/acceptance-posix.V1lls7/browser-result.json</x:v>
      </x:c>
      <x:c r="K31" s="31"/>
      <x:c r="L31" s="36" t="str">
        <x:v>主控实测、自动回归及证据复核</x:v>
      </x:c>
      <x:c r="M31" s="40" t="n">
        <x:v>46276.076712546295</x:v>
      </x:c>
      <x:c r="N31" s="31" t="str">
        <x:v>dev-workflow revision64 completed；Qwen3.5-9B Q8；83项最终实测；通用采购DOCX闭环</x:v>
      </x:c>
    </x:row>
    <x:row r="32" ht="30" customHeight="1">
      <x:c r="A32" s="36" t="str">
        <x:v>WF-02</x:v>
      </x:c>
      <x:c r="B32" s="36" t="str">
        <x:v>AC-04</x:v>
      </x:c>
      <x:c r="C32" s="31" t="str">
        <x:v>预研论证及Word</x:v>
      </x:c>
      <x:c r="D32" s="31" t="str">
        <x:v>主提案已存且资料已替换</x:v>
      </x:c>
      <x:c r="E32" s="31" t="str">
        <x:v>填写现有论证章节、专家建议；保存；导出Word逐章节查看</x:v>
      </x:c>
      <x:c r="F32" s="31" t="str">
        <x:v>已有章节和用户输入完整；论证属于正确提案；导出不空白</x:v>
      </x:c>
      <x:c r="G32" s="36" t="str">
        <x:v>P0</x:v>
      </x:c>
      <x:c r="H32" s="36" t="str">
        <x:v>通过</x:v>
      </x:c>
      <x:c r="I32" s="31" t="str">
        <x:v>论证保存、结论/依据/日期、当前及历史Word证据在隔离浏览器全流程中通过，并建立本案项目。</x:v>
      </x:c>
      <x:c r="J32" s="31" t="str">
        <x:v>work/dev-workspace/科研管理系统/build/acceptance-posix.V1lls7/browser-result.json;work/dev-workspace/科研管理系统/build/acceptance-posix.V1lls7/business-after-restore.json</x:v>
      </x:c>
      <x:c r="K32" s="31"/>
      <x:c r="L32" s="36" t="str">
        <x:v>主控实测、自动回归及证据复核</x:v>
      </x:c>
      <x:c r="M32" s="40" t="n">
        <x:v>46276.076712546295</x:v>
      </x:c>
      <x:c r="N32" s="31" t="str">
        <x:v>dev-workflow revision64 completed；Qwen3.5-9B Q8；83项最终实测；通用采购DOCX闭环</x:v>
      </x:c>
    </x:row>
    <x:row r="33" ht="30" customHeight="1">
      <x:c r="A33" s="36" t="str">
        <x:v>WF-03</x:v>
      </x:c>
      <x:c r="B33" s="36" t="str">
        <x:v>AC-04</x:v>
      </x:c>
      <x:c r="C33" s="31" t="str">
        <x:v>立项决定分支</x:v>
      </x:c>
      <x:c r="D33" s="31" t="str">
        <x:v>三个明确标注测试的提案副本</x:v>
      </x:c>
      <x:c r="E33" s="31" t="str">
        <x:v>分别记录立项、暂缓、不立项；取消一次决定；重复提交一次</x:v>
      </x:c>
      <x:c r="F33" s="31" t="str">
        <x:v>决定与状态一致；取消无写入；重复不创建第二项目；不由AI自动决定</x:v>
      </x:c>
      <x:c r="G33" s="36" t="str">
        <x:v>P0</x:v>
      </x:c>
      <x:c r="H33" s="36" t="str">
        <x:v>通过</x:v>
      </x:c>
      <x:c r="I33" s="31" t="str">
        <x:v>通过立项分支建立本案；拒绝/退回等状态及原子保护由全回归覆盖，关联关系持久。</x:v>
      </x:c>
      <x:c r="J33" s="31" t="str">
        <x:v>work/dev-workspace/科研管理系统/build/local-offline-20260910/field-terminal/stage-e-current-project-closure.json;work/dev-workspace/科研管理系统/build/local-offline-20260910/field-terminal/work-package-e-root-regression.json</x:v>
      </x:c>
      <x:c r="K33" s="31"/>
      <x:c r="L33" s="36" t="str">
        <x:v>主控实测、自动回归及证据复核</x:v>
      </x:c>
      <x:c r="M33" s="40" t="n">
        <x:v>46276.076712546295</x:v>
      </x:c>
      <x:c r="N33" s="31" t="str">
        <x:v>dev-workflow revision64 completed；Qwen3.5-9B Q8；83项最终实测；通用采购DOCX闭环</x:v>
      </x:c>
    </x:row>
    <x:row r="34" ht="30" customHeight="1">
      <x:c r="A34" s="36" t="str">
        <x:v>WF-04</x:v>
      </x:c>
      <x:c r="B34" s="36" t="str">
        <x:v>AC-05,AC-06</x:v>
      </x:c>
      <x:c r="C34" s="31" t="str">
        <x:v>三类项目建立及旧入口</x:v>
      </x:c>
      <x:c r="D34" s="31" t="str">
        <x:v>三个已立项的测试副本</x:v>
      </x:c>
      <x:c r="E34" s="31" t="str">
        <x:v>分别建立一般/安全保密/密码应用项目；打开提案和项目双向链接及旧URL</x:v>
      </x:c>
      <x:c r="F34" s="31" t="str">
        <x:v>三分类原功能保留、关联唯一、旧入口可用；分类名称不被当作安全资质</x:v>
      </x:c>
      <x:c r="G34" s="36" t="str">
        <x:v>P0</x:v>
      </x:c>
      <x:c r="H34" s="36" t="str">
        <x:v>通过</x:v>
      </x:c>
      <x:c r="I34" s="31" t="str">
        <x:v>一般科研、安全保密、密码应用三类项目均完成页面和文件操作；隔离恢复后继续可读。</x:v>
      </x:c>
      <x:c r="J34" s="31" t="str">
        <x:v>work/dev-workspace/科研管理系统/build/acceptance-posix.V1lls7/browser-result.json;work/dev-workspace/科研管理系统/build/acceptance-posix.V1lls7/browser-after-restore.json</x:v>
      </x:c>
      <x:c r="K34" s="31"/>
      <x:c r="L34" s="36" t="str">
        <x:v>主控实测、自动回归及证据复核</x:v>
      </x:c>
      <x:c r="M34" s="40" t="n">
        <x:v>46276.076712546295</x:v>
      </x:c>
      <x:c r="N34" s="31" t="str">
        <x:v>dev-workflow revision64 completed；Qwen3.5-9B Q8；83项最终实测；通用采购DOCX闭环</x:v>
      </x:c>
    </x:row>
    <x:row r="35" ht="30" customHeight="1">
      <x:c r="A35" s="36" t="str">
        <x:v>WF-05</x:v>
      </x:c>
      <x:c r="B35" s="36" t="str">
        <x:v>AC-05</x:v>
      </x:c>
      <x:c r="C35" s="31" t="str">
        <x:v>建立项目原子性</x:v>
      </x:c>
      <x:c r="D35" s="31" t="str">
        <x:v>可控数据库故障窗口；原始状态已记录</x:v>
      </x:c>
      <x:c r="E35" s="31" t="str">
        <x:v>只在隔离测试环境触发一次建立失败；恢复后检查提案/项目状态并重试</x:v>
      </x:c>
      <x:c r="F35" s="31" t="str">
        <x:v>失败无半成品或重复项目；恢复后的建立唯一且关联正确</x:v>
      </x:c>
      <x:c r="G35" s="36" t="str">
        <x:v>P0</x:v>
      </x:c>
      <x:c r="H35" s="36" t="str">
        <x:v>通过</x:v>
      </x:c>
      <x:c r="I35" s="31" t="str">
        <x:v>立项、项目、目录初始化原子性和失败补偿通过PostgreSQL回归；真实本案关联提案且无重复项目。</x:v>
      </x:c>
      <x:c r="J35" s="31" t="str">
        <x:v>work/dev-workspace/科研管理系统/build/local-offline-20260910/field-terminal/work-package-e-root-regression.json;work/dev-workspace/科研管理系统/build/local-offline-20260910/field-terminal/stage-e-current-project-closure.json</x:v>
      </x:c>
      <x:c r="K35" s="31"/>
      <x:c r="L35" s="36" t="str">
        <x:v>主控实测、自动回归及证据复核</x:v>
      </x:c>
      <x:c r="M35" s="40" t="n">
        <x:v>46276.076712546295</x:v>
      </x:c>
      <x:c r="N35" s="31" t="str">
        <x:v>dev-workflow revision64 completed；Qwen3.5-9B Q8；83项最终实测；通用采购DOCX闭环</x:v>
      </x:c>
    </x:row>
    <x:row r="36" ht="30" customHeight="1">
      <x:c r="A36" s="36" t="str">
        <x:v>WF-06</x:v>
      </x:c>
      <x:c r="B36" s="36" t="str">
        <x:v>AC-07</x:v>
      </x:c>
      <x:c r="C36" s="31" t="str">
        <x:v>项目启动与进展</x:v>
      </x:c>
      <x:c r="D36" s="31" t="str">
        <x:v>主项目已建立</x:v>
      </x:c>
      <x:c r="E36" s="31" t="str">
        <x:v>启动；记录样机v1设计进展与试验进展；编辑后刷新</x:v>
      </x:c>
      <x:c r="F36" s="31" t="str">
        <x:v>状态正确；操作人、时间、正文保持；模拟资料不被记为真实完成成果</x:v>
      </x:c>
      <x:c r="G36" s="36" t="str">
        <x:v>P0</x:v>
      </x:c>
      <x:c r="H36" s="36" t="str">
        <x:v>通过</x:v>
      </x:c>
      <x:c r="I36" s="31" t="str">
        <x:v>外部Chrome完成ACTIVE启动、进展新增、编辑、刷新和数据库回读；v2精确值、边界与待补事项保持。</x:v>
      </x:c>
      <x:c r="J36" s="31" t="str">
        <x:v>work/dev-workspace/科研管理系统/build/local-offline-20260910/field-terminal/stage-e-current-project-closure.json</x:v>
      </x:c>
      <x:c r="K36" s="31"/>
      <x:c r="L36" s="36" t="str">
        <x:v>主控实测、自动回归及证据复核</x:v>
      </x:c>
      <x:c r="M36" s="40" t="n">
        <x:v>46276.076712546295</x:v>
      </x:c>
      <x:c r="N36" s="31" t="str">
        <x:v>dev-workflow revision64 completed；Qwen3.5-9B Q8；83项最终实测；通用采购DOCX闭环</x:v>
      </x:c>
    </x:row>
    <x:row r="37" ht="30" customHeight="1">
      <x:c r="A37" s="36" t="str">
        <x:v>WF-07</x:v>
      </x:c>
      <x:c r="B37" s="36" t="str">
        <x:v>AC-07</x:v>
      </x:c>
      <x:c r="C37" s="31" t="str">
        <x:v>五类变更</x:v>
      </x:c>
      <x:c r="D37" s="31" t="str">
        <x:v>使用现有系统五种变更类型和字段</x:v>
      </x:c>
      <x:c r="E37" s="31" t="str">
        <x:v>逐类填写测试值；核对前后值；取消和必填各一次；刷新</x:v>
      </x:c>
      <x:c r="F37" s="31" t="str">
        <x:v>五类字段正确；只修改本类目标；取消/校验失败不损坏原记录</x:v>
      </x:c>
      <x:c r="G37" s="36" t="str">
        <x:v>P0</x:v>
      </x:c>
      <x:c r="H37" s="36" t="str">
        <x:v>通过</x:v>
      </x:c>
      <x:c r="I37" s="31" t="str">
        <x:v>外部Chrome依次完成目标、周期、负责人、内容及其他五类变更；取消与必填校验零写入，保存刷新后3条增至8条且项目标题未受影响。</x:v>
      </x:c>
      <x:c r="J37" s="31" t="str">
        <x:v>work/dev-workspace/科研管理系统/build/local-offline-20260910/field-terminal/wf07-five-changes-live-chrome.json;work/dev-workspace/科研管理系统/build/local-offline-20260910/field-terminal/wf07-five-changes.png</x:v>
      </x:c>
      <x:c r="K37" s="31"/>
      <x:c r="L37" s="36" t="str">
        <x:v>主控实测、自动回归及证据复核</x:v>
      </x:c>
      <x:c r="M37" s="40" t="n">
        <x:v>46276.076712546295</x:v>
      </x:c>
      <x:c r="N37" s="31" t="str">
        <x:v>dev-workflow revision64 completed；Qwen3.5-9B Q8；83项最终实测；通用采购DOCX闭环</x:v>
      </x:c>
    </x:row>
    <x:row r="38" ht="30" customHeight="1">
      <x:c r="A38" s="36" t="str">
        <x:v>WF-08</x:v>
      </x:c>
      <x:c r="B38" s="36" t="str">
        <x:v>AC-07</x:v>
      </x:c>
      <x:c r="C38" s="31" t="str">
        <x:v>成果录入与附件</x:v>
      </x:c>
      <x:c r="D38" s="31" t="str">
        <x:v>D05改进结果及成果材料已准备</x:v>
      </x:c>
      <x:c r="E38" s="31" t="str">
        <x:v>录入样机、软件和验证报告成果记录；上传对应附件；从项目回读</x:v>
      </x:c>
      <x:c r="F38" s="31" t="str">
        <x:v>成果与项目正确关联；附件可打开；成果来源和演练性质明确</x:v>
      </x:c>
      <x:c r="G38" s="36" t="str">
        <x:v>P0</x:v>
      </x:c>
      <x:c r="H38" s="36" t="str">
        <x:v>通过</x:v>
      </x:c>
      <x:c r="I38" s="31" t="str">
        <x:v>本案登记样机、软件、报告三类成果，并关联D06材料；描述明确合成验证及科研边界。</x:v>
      </x:c>
      <x:c r="J38" s="31" t="str">
        <x:v>work/dev-workspace/科研管理系统/build/local-offline-20260910/field-terminal/stage-e-current-project-closure.json</x:v>
      </x:c>
      <x:c r="K38" s="31"/>
      <x:c r="L38" s="36" t="str">
        <x:v>主控实测、自动回归及证据复核</x:v>
      </x:c>
      <x:c r="M38" s="40" t="n">
        <x:v>46276.076712546295</x:v>
      </x:c>
      <x:c r="N38" s="31" t="str">
        <x:v>dev-workflow revision64 completed；Qwen3.5-9B Q8；83项最终实测；通用采购DOCX闭环</x:v>
      </x:c>
    </x:row>
    <x:row r="39" ht="30" customHeight="1">
      <x:c r="A39" s="36" t="str">
        <x:v>WF-09</x:v>
      </x:c>
      <x:c r="B39" s="36" t="str">
        <x:v>AC-07,AC-18</x:v>
      </x:c>
      <x:c r="C39" s="31" t="str">
        <x:v>结题及无成果分支</x:v>
      </x:c>
      <x:c r="D39" s="31" t="str">
        <x:v>主案例具备本次测试目标所需记录；另有无成果副本</x:v>
      </x:c>
      <x:c r="E39" s="31" t="str">
        <x:v>主案例记录结题说明及未覆盖试验边界；副本记录无成果原因；测试取消和重复结题</x:v>
      </x:c>
      <x:c r="F39" s="31" t="str">
        <x:v>结题事实与材料一致；未试验项不伪装完成；无成果有原因；无重复写入</x:v>
      </x:c>
      <x:c r="G39" s="36" t="str">
        <x:v>P0</x:v>
      </x:c>
      <x:c r="H39" s="36" t="str">
        <x:v>通过</x:v>
      </x:c>
      <x:c r="I39" s="31" t="str">
        <x:v>隔离案例完成有成果结题；当前本案又实际提交FAIL结题，记录未完成项并正确回到ACTIVE。</x:v>
      </x:c>
      <x:c r="J39" s="31" t="str">
        <x:v>work/dev-workspace/科研管理系统/build/acceptance-posix.V1lls7/browser-result.json;work/dev-workspace/科研管理系统/build/local-offline-20260910/field-terminal/stage-e-current-project-closure.json</x:v>
      </x:c>
      <x:c r="K39" s="31"/>
      <x:c r="L39" s="36" t="str">
        <x:v>主控实测、自动回归及证据复核</x:v>
      </x:c>
      <x:c r="M39" s="40" t="n">
        <x:v>46276.076712546295</x:v>
      </x:c>
      <x:c r="N39" s="31" t="str">
        <x:v>dev-workflow revision64 completed；Qwen3.5-9B Q8；83项最终实测；通用采购DOCX闭环</x:v>
      </x:c>
    </x:row>
    <x:row r="40" ht="30" customHeight="1">
      <x:c r="A40" s="36" t="str">
        <x:v>WF-10</x:v>
      </x:c>
      <x:c r="B40" s="36" t="str">
        <x:v>AC-03,AC-07</x:v>
      </x:c>
      <x:c r="C40" s="31" t="str">
        <x:v>跨页字符与草稿保持</x:v>
      </x:c>
      <x:c r="D40" s="31" t="str">
        <x:v>正文含换行、全角、符号和较长段落</x:v>
      </x:c>
      <x:c r="E40" s="31" t="str">
        <x:v>保存→前进后退→刷新→重登录；在失败分支保留未保存输入</x:v>
      </x:c>
      <x:c r="F40" s="31" t="str">
        <x:v>已保存文字精确保持；失败输入不丢；不同页面不串项目数据</x:v>
      </x:c>
      <x:c r="G40" s="36" t="str">
        <x:v>P0</x:v>
      </x:c>
      <x:c r="H40" s="36" t="str">
        <x:v>通过</x:v>
      </x:c>
      <x:c r="I40" s="31" t="str">
        <x:v>原失败保留；修复后本案含全角、数字和单位的进展完成新增、编辑、刷新回读，输入未被标准化改写。</x:v>
      </x:c>
      <x:c r="J40" s="31" t="str">
        <x:v>work/dev-workspace/科研管理系统/build/local-offline-20260910/field-terminal/stage-e-current-project-closure.json;work/dev-workspace/科研管理系统/build/local-offline-20260910/field-terminal/establishment-fidelity-fix.json</x:v>
      </x:c>
      <x:c r="K40" s="31" t="str">
        <x:v>EST-TEXT-FIDELITY</x:v>
      </x:c>
      <x:c r="L40" s="36" t="str">
        <x:v>主控实测、自动回归及证据复核</x:v>
      </x:c>
      <x:c r="M40" s="40" t="n">
        <x:v>46276.076712546295</x:v>
      </x:c>
      <x:c r="N40" s="31" t="str">
        <x:v>dev-workflow revision64 completed；Qwen3.5-9B Q8；83项最终实测；通用采购DOCX闭环</x:v>
      </x:c>
    </x:row>
    <x:row r="41" ht="30" customHeight="1">
      <x:c r="A41" s="36" t="str">
        <x:v>AI-01</x:v>
      </x:c>
      <x:c r="B41" s="36" t="str">
        <x:v>AC-13</x:v>
      </x:c>
      <x:c r="C41" s="31" t="str">
        <x:v>真实提案助手</x:v>
      </x:c>
      <x:c r="D41" s="31" t="str">
        <x:v>脱敏资料D01-D03；本地模型正常</x:v>
      </x:c>
      <x:c r="E41" s="31" t="str">
        <x:v>从提案页面生成建议；核对结构/事实/缺项；选择部分字段采用</x:v>
      </x:c>
      <x:c r="F41" s="31" t="str">
        <x:v>生成来自真实模型；只写被人工选中的字段；不自动立项；缺资料明示</x:v>
      </x:c>
      <x:c r="G41" s="36" t="str">
        <x:v>P0</x:v>
      </x:c>
      <x:c r="H41" s="36" t="str">
        <x:v>通过</x:v>
      </x:c>
      <x:c r="I41" s="31" t="str">
        <x:v>真实Qwen3.5-9B基于D01生成提案字段，语义审查接受，范围、0.5℃指标和五项成果准确，未索要代称真实身份。</x:v>
      </x:c>
      <x:c r="J41" s="31" t="str">
        <x:v>work/dev-workspace/科研管理系统/build/local-offline-20260910/field-terminal/model-decision-9b-proposal-v2/semantic-review.json</x:v>
      </x:c>
      <x:c r="K41" s="31"/>
      <x:c r="L41" s="36" t="str">
        <x:v>主控实测、自动回归及证据复核</x:v>
      </x:c>
      <x:c r="M41" s="40" t="n">
        <x:v>46276.076712546295</x:v>
      </x:c>
      <x:c r="N41" s="31" t="str">
        <x:v>dev-workflow revision64 completed；Qwen3.5-9B Q8；83项最终实测；通用采购DOCX闭环</x:v>
      </x:c>
    </x:row>
    <x:row r="42" ht="30" customHeight="1">
      <x:c r="A42" s="36" t="str">
        <x:v>AI-02</x:v>
      </x:c>
      <x:c r="B42" s="36" t="str">
        <x:v>NEW-REPORT</x:v>
      </x:c>
      <x:c r="C42" s="31" t="str">
        <x:v>多方整合首版报告</x:v>
      </x:c>
      <x:c r="D42" s="31" t="str">
        <x:v>词库和资料提取已通过；D01-D03</x:v>
      </x:c>
      <x:c r="E42" s="31" t="str">
        <x:v>新建报告标题/用途；勾选三份固定资料；生成待确认稿；逐条对照金标准</x:v>
      </x:c>
      <x:c r="F42" s="31" t="str">
        <x:v>关键指标、v1偏差0.6℃及未达0.5℃标准均正确；60/30秒建议差异并列；不自动保存</x:v>
      </x:c>
      <x:c r="G42" s="36" t="str">
        <x:v>P0</x:v>
      </x:c>
      <x:c r="H42" s="36" t="str">
        <x:v>通过</x:v>
      </x:c>
      <x:c r="I42" s="31" t="str">
        <x:v>真实9B整合D01-D03形成提案报告初稿；保留v1第三点0.6℃失败、30/60秒分歧和缺证边界，来源编号可追溯。</x:v>
      </x:c>
      <x:c r="J42" s="31" t="str">
        <x:v>work/dev-workspace/科研管理系统/build/local-offline-20260910/field-terminal/stage-e-project-report-final.json;work/dev-workspace/科研管理系统/build/local-offline-20260910/field-terminal/downloads/proposal-report-v2-docx-readback.json</x:v>
      </x:c>
      <x:c r="K42" s="31" t="str">
        <x:v>REPORT-COVERAGE-CITATION</x:v>
      </x:c>
      <x:c r="L42" s="36" t="str">
        <x:v>主控实测、自动回归及证据复核</x:v>
      </x:c>
      <x:c r="M42" s="40" t="n">
        <x:v>46276.076712546295</x:v>
      </x:c>
      <x:c r="N42" s="31" t="str">
        <x:v>dev-workflow revision64 completed；Qwen3.5-9B Q8；83项最终实测；通用采购DOCX闭环</x:v>
      </x:c>
    </x:row>
    <x:row r="43" ht="30" customHeight="1">
      <x:c r="A43" s="36" t="str">
        <x:v>AI-03</x:v>
      </x:c>
      <x:c r="B43" s="36" t="str">
        <x:v>NEW-REPORT</x:v>
      </x:c>
      <x:c r="C43" s="31" t="str">
        <x:v>人工编辑采用与版本</x:v>
      </x:c>
      <x:c r="D43" s="31" t="str">
        <x:v>AI-02原模型输出单独留存</x:v>
      </x:c>
      <x:c r="E43" s="31" t="str">
        <x:v>只做标明的人工修改；保存；查看历史和模型来源</x:v>
      </x:c>
      <x:c r="F43" s="31" t="str">
        <x:v>原模型贡献与人工贡献分开；版本递增；来源/模型/词库版本可定位</x:v>
      </x:c>
      <x:c r="G43" s="36" t="str">
        <x:v>P0</x:v>
      </x:c>
      <x:c r="H43" s="36" t="str">
        <x:v>通过</x:v>
      </x:c>
      <x:c r="I43" s="31" t="str">
        <x:v>模型草稿与人工改动分离；人工核对、框选采用及保存生成v2，旧版和原模型证据保留。</x:v>
      </x:c>
      <x:c r="J43" s="31" t="str">
        <x:v>work/dev-workspace/科研管理系统/build/local-offline-20260910/field-terminal/stage-e-project-report-final.json;work/dev-workspace/科研管理系统/build/local-offline-20260910/field-terminal/model-decision-9b/evidence-hashes.json</x:v>
      </x:c>
      <x:c r="K43" s="31"/>
      <x:c r="L43" s="36" t="str">
        <x:v>主控实测、自动回归及证据复核</x:v>
      </x:c>
      <x:c r="M43" s="40" t="n">
        <x:v>46276.076712546295</x:v>
      </x:c>
      <x:c r="N43" s="31" t="str">
        <x:v>dev-workflow revision64 completed；Qwen3.5-9B Q8；83项最终实测；通用采购DOCX闭环</x:v>
      </x:c>
    </x:row>
    <x:row r="44" ht="30" customHeight="1">
      <x:c r="A44" s="36" t="str">
        <x:v>AI-04</x:v>
      </x:c>
      <x:c r="B44" s="36" t="str">
        <x:v>NEW-REPORT</x:v>
      </x:c>
      <x:c r="C44" s="31" t="str">
        <x:v>新资料有效修订</x:v>
      </x:c>
      <x:c r="D44" s="31" t="str">
        <x:v>原报告已存；新增D04明确选择30秒</x:v>
      </x:c>
      <x:c r="E44" s="31" t="str">
        <x:v>追加补充意见；选择正确资料版本；发起修订</x:v>
      </x:c>
      <x:c r="F44" s="31" t="str">
        <x:v>写明新确认的30秒，并把旧60秒建议作为历史；不能继续把已解决分歧说成当前未决</x:v>
      </x:c>
      <x:c r="G44" s="36" t="str">
        <x:v>P0</x:v>
      </x:c>
      <x:c r="H44" s="36" t="str">
        <x:v>通过</x:v>
      </x:c>
      <x:c r="I44" s="31" t="str">
        <x:v>按当前research-report-sources-v3提示词由真实9B基于旧稿与D01-D05重新生成修订稿；30秒决定、v2三点结果和各来源编号均正确。</x:v>
      </x:c>
      <x:c r="J44" s="31" t="str">
        <x:v>work/dev-workspace/科研管理系统/build/local-offline-20260910/field-terminal/ai04-ai05-current-prompt-live-chrome.json;work/dev-workspace/科研管理系统/build/local-offline-20260910/field-terminal/ai04-ai05-current-prompt-draft.png</x:v>
      </x:c>
      <x:c r="K44" s="31"/>
      <x:c r="L44" s="36" t="str">
        <x:v>主控实测、自动回归及证据复核</x:v>
      </x:c>
      <x:c r="M44" s="40" t="n">
        <x:v>46276.076712546295</x:v>
      </x:c>
      <x:c r="N44" s="31" t="str">
        <x:v>dev-workflow revision64 completed；Qwen3.5-9B Q8；83项最终实测；通用采购DOCX闭环</x:v>
      </x:c>
    </x:row>
    <x:row r="45" ht="30" customHeight="1">
      <x:c r="A45" s="36" t="str">
        <x:v>AI-05</x:v>
      </x:c>
      <x:c r="B45" s="36" t="str">
        <x:v>NEW-REPORT</x:v>
      </x:c>
      <x:c r="C45" s="31" t="str">
        <x:v>试验结论更新与边界</x:v>
      </x:c>
      <x:c r="D45" s="31" t="str">
        <x:v>新增D05：v2三点最大偏差0.3℃</x:v>
      </x:c>
      <x:c r="E45" s="31" t="str">
        <x:v>再生成结果报告；核对两代样机及未测项</x:v>
      </x:c>
      <x:c r="F45" s="31" t="str">
        <x:v>v1未达标、v2仅已测三点满足0.5℃；不外推全温区、续航、可靠性均合格</x:v>
      </x:c>
      <x:c r="G45" s="36" t="str">
        <x:v>P0</x:v>
      </x:c>
      <x:c r="H45" s="36" t="str">
        <x:v>通过</x:v>
      </x:c>
      <x:c r="I45" s="31" t="str">
        <x:v>当前提示词复测正确区分历史60秒与现行30秒、v1失败与v2三点最大0.3℃，所有主张带正确来源且未越界外推。</x:v>
      </x:c>
      <x:c r="J45" s="31" t="str">
        <x:v>work/dev-workspace/科研管理系统/build/local-offline-20260910/field-terminal/ai04-ai05-current-prompt-live-chrome.json;work/dev-workspace/科研管理系统/build/local-offline-20260910/field-terminal/ai04-ai05-current-prompt-draft.png</x:v>
      </x:c>
      <x:c r="K45" s="31"/>
      <x:c r="L45" s="36" t="str">
        <x:v>主控实测、自动回归及证据复核</x:v>
      </x:c>
      <x:c r="M45" s="40" t="n">
        <x:v>46276.076712546295</x:v>
      </x:c>
      <x:c r="N45" s="31" t="str">
        <x:v>dev-workflow revision64 completed；Qwen3.5-9B Q8；83项最终实测；通用采购DOCX闭环</x:v>
      </x:c>
    </x:row>
    <x:row r="46" ht="30" customHeight="1">
      <x:c r="A46" s="36" t="str">
        <x:v>AI-06</x:v>
      </x:c>
      <x:c r="B46" s="36" t="str">
        <x:v>NEW-REPORT</x:v>
      </x:c>
      <x:c r="C46" s="31" t="str">
        <x:v>报告历史与Word导出</x:v>
      </x:c>
      <x:c r="D46" s="31" t="str">
        <x:v>至少两份已保存有效报告版本</x:v>
      </x:c>
      <x:c r="E46" s="31" t="str">
        <x:v>下载每版Word；重新登录；逐段对照正文、来源版本/哈希、作者及版本号</x:v>
      </x:c>
      <x:c r="F46" s="31" t="str">
        <x:v>各版正文和来源固定；新词库/附件不会改变旧版；Word可打开且内容对应</x:v>
      </x:c>
      <x:c r="G46" s="36" t="str">
        <x:v>P0</x:v>
      </x:c>
      <x:c r="H46" s="36" t="str">
        <x:v>通过</x:v>
      </x:c>
      <x:c r="I46" s="31" t="str">
        <x:v>提案报告2版、项目报告3版均可回看；两个指定版本DOCX实际下载、解包和正文/来源/版号复核通过。</x:v>
      </x:c>
      <x:c r="J46" s="31" t="str">
        <x:v>work/dev-workspace/科研管理系统/build/local-offline-20260910/field-terminal/downloads/proposal-report-v2-docx-readback.json;work/dev-workspace/科研管理系统/build/local-offline-20260910/field-terminal/downloads/project-report-v3-docx-readback.json</x:v>
      </x:c>
      <x:c r="K46" s="31"/>
      <x:c r="L46" s="36" t="str">
        <x:v>主控实测、自动回归及证据复核</x:v>
      </x:c>
      <x:c r="M46" s="40" t="n">
        <x:v>46276.076712546295</x:v>
      </x:c>
      <x:c r="N46" s="31" t="str">
        <x:v>dev-workflow revision64 completed；Qwen3.5-9B Q8；83项最终实测；通用采购DOCX闭环</x:v>
      </x:c>
    </x:row>
    <x:row r="47" ht="30" customHeight="1">
      <x:c r="A47" s="36" t="str">
        <x:v>AI-07</x:v>
      </x:c>
      <x:c r="B47" s="36" t="str">
        <x:v>NEW-REPORT</x:v>
      </x:c>
      <x:c r="C47" s="31" t="str">
        <x:v>同报告多窗口冲突</x:v>
      </x:c>
      <x:c r="D47" s="31" t="str">
        <x:v>两窗口打开同一基版</x:v>
      </x:c>
      <x:c r="E47" s="31" t="str">
        <x:v>窗口A保存；窗口B按旧基版保存；生成期间另一窗口再保存</x:v>
      </x:c>
      <x:c r="F47" s="31" t="str">
        <x:v>过期提交明确409；输入保留；无覆盖/重复版本；最新版本仍可打开</x:v>
      </x:c>
      <x:c r="G47" s="36" t="str">
        <x:v>P0</x:v>
      </x:c>
      <x:c r="H47" s="36" t="str">
        <x:v>通过</x:v>
      </x:c>
      <x:c r="I47" s="31" t="str">
        <x:v>双Chrome窗口实测：旧窗口保存409且保留输入；真实9B生成期间另一窗口保存新版本，生成响应409且未覆盖最新v3，历史正好3版。</x:v>
      </x:c>
      <x:c r="J47" s="31" t="str">
        <x:v>work/dev-workspace/科研管理系统/build/local-offline-20260910/field-terminal/ai07-two-window-live-chrome.json;work/dev-workspace/科研管理系统/build/local-offline-20260910/field-terminal/ai07-two-window-latest.png;work/dev-workspace/科研管理系统/build/local-offline-20260910/field-terminal/ai07-stale-input-retained.png</x:v>
      </x:c>
      <x:c r="K47" s="31"/>
      <x:c r="L47" s="36" t="str">
        <x:v>主控实测、自动回归及证据复核</x:v>
      </x:c>
      <x:c r="M47" s="40" t="n">
        <x:v>46276.076712546295</x:v>
      </x:c>
      <x:c r="N47" s="31" t="str">
        <x:v>dev-workflow revision64 completed；Qwen3.5-9B Q8；83项最终实测；通用采购DOCX闭环</x:v>
      </x:c>
    </x:row>
    <x:row r="48" ht="30" customHeight="1">
      <x:c r="A48" s="36" t="str">
        <x:v>AI-08</x:v>
      </x:c>
      <x:c r="B48" s="36" t="str">
        <x:v>AC-14,NEW-REPORT</x:v>
      </x:c>
      <x:c r="C48" s="31" t="str">
        <x:v>模型停止超时取消空输出</x:v>
      </x:c>
      <x:c r="D48" s="31" t="str">
        <x:v>主控协调故障窗口；备份已完成</x:v>
      </x:c>
      <x:c r="E48" s="31" t="str">
        <x:v>分别执行可控停止/超时/用户取消/空或截断响应；恢复服务</x:v>
      </x:c>
      <x:c r="F48" s="31" t="str">
        <x:v>失败不写报告；输入保留；无自动重试；非AI保存仍可用；不能把降级当AI通过</x:v>
      </x:c>
      <x:c r="G48" s="36" t="str">
        <x:v>P0</x:v>
      </x:c>
      <x:c r="H48" s="36" t="str">
        <x:v>通过</x:v>
      </x:c>
      <x:c r="I48" s="31" t="str">
        <x:v>外部Chrome完全卸载9B后，框选和报告生成均明确503、输入保留且无草稿/版本写入；普通报告仍保存v2；重载绿色后生成恢复。超时、空响应及截断保护同时通过回归和真实截断探针。</x:v>
      </x:c>
      <x:c r="J48" s="31" t="str">
        <x:v>work/dev-workspace/科研管理系统/build/local-offline-20260910/field-terminal/model-controlled-outage-concurrency-live-chrome.json;work/dev-workspace/科研管理系统/build/local-offline-20260910/field-terminal/mc04-token-boundary-real-model.json;work/dev-workspace/科研管理系统/build/local-offline-20260910/field-terminal/work-package-e-root-regression.json</x:v>
      </x:c>
      <x:c r="K48" s="31"/>
      <x:c r="L48" s="36" t="str">
        <x:v>主控实测、自动回归及证据复核</x:v>
      </x:c>
      <x:c r="M48" s="40" t="n">
        <x:v>46276.076712546295</x:v>
      </x:c>
      <x:c r="N48" s="31" t="str">
        <x:v>dev-workflow revision64 completed；Qwen3.5-9B Q8；83项最终实测；通用采购DOCX闭环</x:v>
      </x:c>
    </x:row>
    <x:row r="49" ht="30" customHeight="1">
      <x:c r="A49" s="36" t="str">
        <x:v>EX-01</x:v>
      </x:c>
      <x:c r="B49" s="36" t="str">
        <x:v>AC-09</x:v>
      </x:c>
      <x:c r="C49" s="31" t="str">
        <x:v>专家新增编辑查询导出</x:v>
      </x:c>
      <x:c r="D49" s="31" t="str">
        <x:v>虚构专家数据含原有9列</x:v>
      </x:c>
      <x:c r="E49" s="31" t="str">
        <x:v>新增编辑；筛选分页；打开敏感字段受控显示；导出Word与Excel；删除测试副本时先取消</x:v>
      </x:c>
      <x:c r="F49" s="31" t="str">
        <x:v>9列不丢失；搜索分页准确；导出内容正确；取消不删数据</x:v>
      </x:c>
      <x:c r="G49" s="36" t="str">
        <x:v>P1</x:v>
      </x:c>
      <x:c r="H49" s="36" t="str">
        <x:v>通过</x:v>
      </x:c>
      <x:c r="I49" s="31" t="str">
        <x:v>专家列表、新增/编辑/查询及勾选导出流程通过；选中Excel实际下载并读回11列及两条记录，未选时明确提示。</x:v>
      </x:c>
      <x:c r="J49" s="31" t="str">
        <x:v>work/dev-workspace/科研管理系统/build/local-offline-20260910/field-terminal/retained-modules-expert-export-result.json;work/dev-workspace/科研管理系统/build/repair-20260909/r19-expert-live.json</x:v>
      </x:c>
      <x:c r="K49" s="31"/>
      <x:c r="L49" s="36" t="str">
        <x:v>主控实测、自动回归及证据复核</x:v>
      </x:c>
      <x:c r="M49" s="40" t="n">
        <x:v>46276.076712546295</x:v>
      </x:c>
      <x:c r="N49" s="31" t="str">
        <x:v>dev-workflow revision64 completed；Qwen3.5-9B Q8；83项最终实测；通用采购DOCX闭环</x:v>
      </x:c>
    </x:row>
    <x:row r="50" ht="30" customHeight="1">
      <x:c r="A50" s="36" t="str">
        <x:v>EX-02</x:v>
      </x:c>
      <x:c r="B50" s="36" t="str">
        <x:v>AC-09</x:v>
      </x:c>
      <x:c r="C50" s="31" t="str">
        <x:v>专家导入与分组</x:v>
      </x:c>
      <x:c r="D50" s="31" t="str">
        <x:v>有效表及错列/重复行表</x:v>
      </x:c>
      <x:c r="E50" s="31" t="str">
        <x:v>下载模板；导入预览映射；取消；有效提交；建组并增删排序成员；组导出</x:v>
      </x:c>
      <x:c r="F50" s="31" t="str">
        <x:v>导入失败无半写入；成员/排序/数量持久；组导出正确</x:v>
      </x:c>
      <x:c r="G50" s="36" t="str">
        <x:v>P1</x:v>
      </x:c>
      <x:c r="H50" s="36" t="str">
        <x:v>通过</x:v>
      </x:c>
      <x:c r="I50" s="31" t="str">
        <x:v>专家导入预览、重复提示、取消零写入、提交及分组展示通过；多视口列表无溢出。</x:v>
      </x:c>
      <x:c r="J50" s="31" t="str">
        <x:v>work/dev-workspace/科研管理系统/build/local-offline-20260910/field-terminal/retained-modules-expert-export-result.json;work/dev-workspace/科研管理系统/build/local-offline-20260910/retained-modules-expert-import-ui.json;work/dev-workspace/科研管理系统/build/local-offline-20260910/field-terminal/r4-group-display-stage-e.json</x:v>
      </x:c>
      <x:c r="K50" s="31"/>
      <x:c r="L50" s="36" t="str">
        <x:v>主控实测、自动回归及证据复核</x:v>
      </x:c>
      <x:c r="M50" s="40" t="n">
        <x:v>46276.076712546295</x:v>
      </x:c>
      <x:c r="N50" s="31" t="str">
        <x:v>dev-workflow revision64 completed；Qwen3.5-9B Q8；83项最终实测；通用采购DOCX闭环</x:v>
      </x:c>
    </x:row>
    <x:row r="51" ht="30" customHeight="1">
      <x:c r="A51" s="36" t="str">
        <x:v>RS-01</x:v>
      </x:c>
      <x:c r="B51" s="36" t="str">
        <x:v>AC-10</x:v>
      </x:c>
      <x:c r="C51" s="31" t="str">
        <x:v>设备基础与导入导出</x:v>
      </x:c>
      <x:c r="D51" s="31" t="str">
        <x:v>虚构DEV-03与参比设备</x:v>
      </x:c>
      <x:c r="E51" s="31" t="str">
        <x:v>创建编辑设备；设置分类/状态/单位；错误及正确导入；导出；查看日志</x:v>
      </x:c>
      <x:c r="F51" s="31" t="str">
        <x:v>数据及单位不串；错误不提交；导出/日志可定位</x:v>
      </x:c>
      <x:c r="G51" s="36" t="str">
        <x:v>P1</x:v>
      </x:c>
      <x:c r="H51" s="36" t="str">
        <x:v>通过</x:v>
      </x:c>
      <x:c r="I51" s="31" t="str">
        <x:v>外部Chrome完成设备全字段新增、编辑与刷新回读；错误文件拒绝且零写入，正确Excel完成列映射、预览和异步导入；16列导出逐字段回读一致，新增/更新/导入日志可定位。</x:v>
      </x:c>
      <x:c r="J51" s="31" t="str">
        <x:v>work/dev-workspace/科研管理系统/build/local-offline-20260910/field-terminal/rs01-equipment-full-live-chrome.json;work/dev-workspace/科研管理系统/build/local-offline-20260910/field-terminal/downloads/rs01-equipment-export.xlsx;work/dev-workspace/科研管理系统/build/local-offline-20260910/field-terminal/rs01-equipment-import-logs.png</x:v>
      </x:c>
      <x:c r="K51" s="31"/>
      <x:c r="L51" s="36" t="str">
        <x:v>主控实测、自动回归及证据复核</x:v>
      </x:c>
      <x:c r="M51" s="40" t="n">
        <x:v>46276.076712546295</x:v>
      </x:c>
      <x:c r="N51" s="31" t="str">
        <x:v>dev-workflow revision64 completed；Qwen3.5-9B Q8；83项最终实测；通用采购DOCX闭环</x:v>
      </x:c>
    </x:row>
    <x:row r="52" ht="30" customHeight="1">
      <x:c r="A52" s="36" t="str">
        <x:v>RS-02</x:v>
      </x:c>
      <x:c r="B52" s="36" t="str">
        <x:v>AC-10</x:v>
      </x:c>
      <x:c r="C52" s="31" t="str">
        <x:v>设备组与宿主</x:v>
      </x:c>
      <x:c r="D52" s="31" t="str">
        <x:v>设备、宿主测试记录</x:v>
      </x:c>
      <x:c r="E52" s="31" t="str">
        <x:v>建组；加减成员；宿主新增编辑导入；挂接和解绑；导出刷新</x:v>
      </x:c>
      <x:c r="F52" s="31" t="str">
        <x:v>成员数量一致；关联真实持久；重复和取消不产生额外关联</x:v>
      </x:c>
      <x:c r="G52" s="36" t="str">
        <x:v>P1</x:v>
      </x:c>
      <x:c r="H52" s="36" t="str">
        <x:v>通过</x:v>
      </x:c>
      <x:c r="I52" s="31" t="str">
        <x:v>设备组创建人/时间及设备宿主关联在1440/1366/1280展示正确；项目设备覆盖取消保持原值。</x:v>
      </x:c>
      <x:c r="J52" s="31" t="str">
        <x:v>work/dev-workspace/科研管理系统/build/local-offline-20260910/field-terminal/r4-group-display-stage-e.json;work/dev-workspace/科研管理系统/build/local-offline-20260910/field-terminal/r9-equipment-live.json</x:v>
      </x:c>
      <x:c r="K52" s="31"/>
      <x:c r="L52" s="36" t="str">
        <x:v>主控实测、自动回归及证据复核</x:v>
      </x:c>
      <x:c r="M52" s="40" t="n">
        <x:v>46276.076712546295</x:v>
      </x:c>
      <x:c r="N52" s="31" t="str">
        <x:v>dev-workflow revision64 completed；Qwen3.5-9B Q8；83项最终实测；通用采购DOCX闭环</x:v>
      </x:c>
    </x:row>
    <x:row r="53" ht="30" customHeight="1">
      <x:c r="A53" s="36" t="str">
        <x:v>RS-03</x:v>
      </x:c>
      <x:c r="B53" s="36" t="str">
        <x:v>AC-10</x:v>
      </x:c>
      <x:c r="C53" s="31" t="str">
        <x:v>标准法规与科研模板</x:v>
      </x:c>
      <x:c r="D53" s="31" t="str">
        <x:v>允许用于测试的文件及目录</x:v>
      </x:c>
      <x:c r="E53" s="31" t="str">
        <x:v>建目录；上传文件v1/v2；编辑；预览下载；删除副本前取消</x:v>
      </x:c>
      <x:c r="F53" s="31" t="str">
        <x:v>目录版本和文件完整；原件不误删；下载哈希一致</x:v>
      </x:c>
      <x:c r="G53" s="36" t="str">
        <x:v>P1</x:v>
      </x:c>
      <x:c r="H53" s="36" t="str">
        <x:v>通过</x:v>
      </x:c>
      <x:c r="I53" s="31" t="str">
        <x:v>标准法规和科研模板在隔离浏览器全流程完成保存、版本、下载及恢复后回读；当前主实例入口亦可达。</x:v>
      </x:c>
      <x:c r="J53" s="31" t="str">
        <x:v>work/dev-workspace/科研管理系统/build/acceptance-posix.V1lls7/browser-result.json;work/dev-workspace/科研管理系统/build/acceptance-posix.V1lls7/browser-after-restore.json</x:v>
      </x:c>
      <x:c r="K53" s="31"/>
      <x:c r="L53" s="36" t="str">
        <x:v>主控实测、自动回归及证据复核</x:v>
      </x:c>
      <x:c r="M53" s="40" t="n">
        <x:v>46276.076712546295</x:v>
      </x:c>
      <x:c r="N53" s="31" t="str">
        <x:v>dev-workflow revision64 completed；Qwen3.5-9B Q8；83项最终实测；通用采购DOCX闭环</x:v>
      </x:c>
    </x:row>
    <x:row r="54" ht="30" customHeight="1">
      <x:c r="A54" s="36" t="str">
        <x:v>TL-01</x:v>
      </x:c>
      <x:c r="B54" s="36" t="str">
        <x:v>AC-11</x:v>
      </x:c>
      <x:c r="C54" s="31" t="str">
        <x:v>通用表格</x:v>
      </x:c>
      <x:c r="D54" s="31" t="str">
        <x:v>试验点数据表</x:v>
      </x:c>
      <x:c r="E54" s="31" t="str">
        <x:v>创建表和列；导入三点数据；编辑；建立快照；导出；打开旧快照</x:v>
      </x:c>
      <x:c r="F54" s="31" t="str">
        <x:v>列/行/数值完整；快照不随当前表变化；错误导入不污染</x:v>
      </x:c>
      <x:c r="G54" s="36" t="str">
        <x:v>P1</x:v>
      </x:c>
      <x:c r="H54" s="36" t="str">
        <x:v>通过</x:v>
      </x:c>
      <x:c r="I54" s="31" t="str">
        <x:v>通用表格完成建立、字段/数据保存、文件关联、版本读回和隔离恢复后验证。</x:v>
      </x:c>
      <x:c r="J54" s="31" t="str">
        <x:v>work/dev-workspace/科研管理系统/build/acceptance-posix.V1lls7/browser-result.json;work/dev-workspace/科研管理系统/build/acceptance-posix.V1lls7/business-after-restore.json</x:v>
      </x:c>
      <x:c r="K54" s="31"/>
      <x:c r="L54" s="36" t="str">
        <x:v>主控实测、自动回归及证据复核</x:v>
      </x:c>
      <x:c r="M54" s="40" t="n">
        <x:v>46276.076712546295</x:v>
      </x:c>
      <x:c r="N54" s="31" t="str">
        <x:v>dev-workflow revision64 completed；Qwen3.5-9B Q8；83项最终实测；通用采购DOCX闭环</x:v>
      </x:c>
    </x:row>
    <x:row r="55" ht="30" customHeight="1">
      <x:c r="A55" s="36" t="str">
        <x:v>TL-02</x:v>
      </x:c>
      <x:c r="B55" s="36" t="str">
        <x:v>AC-11</x:v>
      </x:c>
      <x:c r="C55" s="31" t="str">
        <x:v>简单财务登记</x:v>
      </x:c>
      <x:c r="D55" s="31" t="str">
        <x:v>明确标识的模拟采购和差旅单</x:v>
      </x:c>
      <x:c r="E55" s="31" t="str">
        <x:v>新建编辑登记；选择已有状态；关联票据支付后解除；取消删除</x:v>
      </x:c>
      <x:c r="F55" s="31" t="str">
        <x:v>保留原有简单登记行为；金额、类型、关联正确；不新增财务审批范围</x:v>
      </x:c>
      <x:c r="G55" s="36" t="str">
        <x:v>P1</x:v>
      </x:c>
      <x:c r="H55" s="36" t="str">
        <x:v>通过</x:v>
      </x:c>
      <x:c r="I55" s="31" t="str">
        <x:v>当前主实例完成合成费用记录新增、读取、修改、筛选、删除及删除后404回读。</x:v>
      </x:c>
      <x:c r="J55" s="31" t="str">
        <x:v>work/dev-workspace/科研管理系统/build/local-offline-20260910/field-terminal/stage-e-simple-expense-crud.json</x:v>
      </x:c>
      <x:c r="K55" s="31"/>
      <x:c r="L55" s="36" t="str">
        <x:v>主控实测、自动回归及证据复核</x:v>
      </x:c>
      <x:c r="M55" s="40" t="n">
        <x:v>46276.076712546295</x:v>
      </x:c>
      <x:c r="N55" s="31" t="str">
        <x:v>dev-workflow revision64 completed；Qwen3.5-9B Q8；83项最终实测；通用采购DOCX闭环</x:v>
      </x:c>
    </x:row>
    <x:row r="56" ht="30" customHeight="1">
      <x:c r="A56" s="36" t="str">
        <x:v>TL-03</x:v>
      </x:c>
      <x:c r="B56" s="36" t="str">
        <x:v>AC-11</x:v>
      </x:c>
      <x:c r="C56" s="31" t="str">
        <x:v>发票支付OCR</x:v>
      </x:c>
      <x:c r="D56" s="31" t="str">
        <x:v>PNG、文字PDF、扫描票据测试件</x:v>
      </x:c>
      <x:c r="E56" s="31" t="str">
        <x:v>上传→真实识别→人工修正→保存→预览下载；OCR失败时手填</x:v>
      </x:c>
      <x:c r="F56" s="31" t="str">
        <x:v>识别与用户确认分开；不覆盖已确认值；附件和记录匹配；真实OCR不冒充报告OCR</x:v>
      </x:c>
      <x:c r="G56" s="36" t="str">
        <x:v>P1</x:v>
      </x:c>
      <x:c r="H56" s="36" t="str">
        <x:v>通过</x:v>
      </x:c>
      <x:c r="I56" s="31" t="str">
        <x:v>合成发票PNG和支付PDF完成上传、真实OCR识别、人工确认保存、刷新回读及下载哈希一致。</x:v>
      </x:c>
      <x:c r="J56" s="31" t="str">
        <x:v>work/dev-workspace/科研管理系统/build/local-offline-20260910/field-terminal/ui-fixed-results.json</x:v>
      </x:c>
      <x:c r="K56" s="31"/>
      <x:c r="L56" s="36" t="str">
        <x:v>主控实测、自动回归及证据复核</x:v>
      </x:c>
      <x:c r="M56" s="40" t="n">
        <x:v>46276.076712546295</x:v>
      </x:c>
      <x:c r="N56" s="31" t="str">
        <x:v>dev-workflow revision64 completed；Qwen3.5-9B Q8；83项最终实测；通用采购DOCX闭环</x:v>
      </x:c>
    </x:row>
    <x:row r="57" ht="30" customHeight="1">
      <x:c r="A57" s="36" t="str">
        <x:v>TL-04</x:v>
      </x:c>
      <x:c r="B57" s="36" t="str">
        <x:v>AC-11</x:v>
      </x:c>
      <x:c r="C57" s="31" t="str">
        <x:v>原采购结算Word</x:v>
      </x:c>
      <x:c r="D57" s="31" t="str">
        <x:v>采购原DOCX目前缺件</x:v>
      </x:c>
      <x:c r="E57" s="31" t="str">
        <x:v>恢复合法原模板后填写既有字段；生成并打开Word</x:v>
      </x:c>
      <x:c r="F57" s="31" t="str">
        <x:v>模板/字段/排版完整；缺件时明确阻塞，404不算通过</x:v>
      </x:c>
      <x:c r="G57" s="36" t="str">
        <x:v>P1</x:v>
      </x:c>
      <x:c r="H57" s="36" t="str">
        <x:v>通过</x:v>
      </x:c>
      <x:c r="I57" s="31" t="str">
        <x:v>采用用户确认的系统通用科研物资采购申请单。外部Google Chrome以admin填写单位、申请人、日期及两条科研物品，保存后数据库保持真实数组；下载DOCX含两个完整明细块，无Python列表文本，版式一页完整，并已在Microsoft Word中实际打开。</x:v>
      </x:c>
      <x:c r="J57" s="31" t="str">
        <x:v>work/dev-workspace/科研管理系统/build/local-offline-20260910/field-terminal/tl04-complete-external-chrome.json;work/dev-workspace/科研管理系统/build/local-offline-20260910/field-terminal/tl04-downloaded-docx-content-audit-final.json;work/dev-workspace/科研管理系统/build/local-offline-20260910/field-terminal/tl04-microsoft-word-open.json;work/dev-workspace/科研管理系统/build/local-offline-20260910/field-terminal/downloads/TL04-通用科研物资采购申请单-双物品-外部Chrome-最终.docx</x:v>
      </x:c>
      <x:c r="K57" s="31"/>
      <x:c r="L57" s="36" t="str">
        <x:v>主控实测、自动回归及证据复核</x:v>
      </x:c>
      <x:c r="M57" s="40" t="n">
        <x:v>46276.076712546295</x:v>
      </x:c>
      <x:c r="N57" s="31" t="str">
        <x:v>dev-workflow revision64 completed；Qwen3.5-9B Q8；83项最终实测；通用采购DOCX闭环</x:v>
      </x:c>
    </x:row>
    <x:row r="58" ht="30" customHeight="1">
      <x:c r="A58" s="36" t="str">
        <x:v>TL-05</x:v>
      </x:c>
      <x:c r="B58" s="36" t="str">
        <x:v>AC-11</x:v>
      </x:c>
      <x:c r="C58" s="31" t="str">
        <x:v>通用文档AI校对（当前交付不启用）</x:v>
      </x:c>
      <x:c r="D58" s="31" t="str">
        <x:v>带明确错字的文本与受支持文件</x:v>
      </x:c>
      <x:c r="E58" s="31" t="str">
        <x:v>上传或粘贴；真实模型校对；人工采用；保存导出并核对原件</x:v>
      </x:c>
      <x:c r="F58" s="31" t="str">
        <x:v>当前需求不在通用文档校对中调用模型；入口不提供可执行按钮，直接访问和旧API拒绝且无模型副作用</x:v>
      </x:c>
      <x:c r="G58" s="36" t="str">
        <x:v>P1</x:v>
      </x:c>
      <x:c r="H58" s="36" t="str">
        <x:v>不适用</x:v>
      </x:c>
      <x:c r="I58" s="31" t="str">
        <x:v>用户已确认模型仅用于提案助手、报告初稿、报告修订和框选建议。工具页显示当前范围未启用，目录无入口，直接地址及旧AI接口404。</x:v>
      </x:c>
      <x:c r="J58" s="31" t="str">
        <x:v>work/dev-workspace/科研管理系统/build/local-offline-20260910/field-terminal/stage-e-limited-model-scope.json</x:v>
      </x:c>
      <x:c r="K58" s="31"/>
      <x:c r="L58" s="36" t="str">
        <x:v>主控实测、自动回归及证据复核</x:v>
      </x:c>
      <x:c r="M58" s="40" t="n">
        <x:v>46276.076712546295</x:v>
      </x:c>
      <x:c r="N58" s="31" t="str">
        <x:v>dev-workflow revision64 completed；Qwen3.5-9B Q8；83项最终实测；通用采购DOCX闭环</x:v>
      </x:c>
    </x:row>
    <x:row r="59" ht="30" customHeight="1">
      <x:c r="A59" s="36" t="str">
        <x:v>TL-06</x:v>
      </x:c>
      <x:c r="B59" s="36" t="str">
        <x:v>AC-11</x:v>
      </x:c>
      <x:c r="C59" s="31" t="str">
        <x:v>本地模型维护</x:v>
      </x:c>
      <x:c r="D59" s="31" t="str">
        <x:v>admin管理员；主控独占启停窗口；单模型控制已集成</x:v>
      </x:c>
      <x:c r="E59" s="31" t="str">
        <x:v>从页面核对配置、加载状态和内存；受控加载或卸载；重新进入业务页</x:v>
      </x:c>
      <x:c r="F59" s="31" t="str">
        <x:v>状态与真实进程及Qwen3.5-9B身份一致；设置中无2B配置；不启停18080等无关服务；失败可理解且无残留副作用</x:v>
      </x:c>
      <x:c r="G59" s="36" t="str">
        <x:v>P1</x:v>
      </x:c>
      <x:c r="H59" s="36" t="str">
        <x:v>通过</x:v>
      </x:c>
      <x:c r="I59" s="31" t="str">
        <x:v>Qwen3.5-9B Q8已唯一加载并绿色显示；MiniCPM5-2B权重目录、控制器配置和默认回退均已删除；身份、健康、端口和实际RSS可读，DeepSeek关闭。</x:v>
      </x:c>
      <x:c r="J59" s="31" t="str">
        <x:v>work/dev-workspace/科研管理系统/build/local-offline-20260910/field-terminal/work-package-d-qwen9b-live-runtime.json;work/dev-workspace/科研管理系统/build/local-offline-20260910/field-terminal/stage-e-limited-model-scope.json</x:v>
      </x:c>
      <x:c r="K59" s="31"/>
      <x:c r="L59" s="36" t="str">
        <x:v>主控实测、自动回归及证据复核</x:v>
      </x:c>
      <x:c r="M59" s="40" t="n">
        <x:v>46276.076712546295</x:v>
      </x:c>
      <x:c r="N59" s="31" t="str">
        <x:v>dev-workflow revision64 completed；Qwen3.5-9B Q8；83项最终实测；通用采购DOCX闭环</x:v>
      </x:c>
    </x:row>
    <x:row r="60" ht="30" customHeight="1">
      <x:c r="A60" s="36" t="str">
        <x:v>QA-01</x:v>
      </x:c>
      <x:c r="B60" s="36" t="str">
        <x:v>AC-12,AC-16</x:v>
      </x:c>
      <x:c r="C60" s="31" t="str">
        <x:v>留痕CSRF和输入安全</x:v>
      </x:c>
      <x:c r="D60" s="31" t="str">
        <x:v>专用测试数据</x:v>
      </x:c>
      <x:c r="E60" s="31" t="str">
        <x:v>缺CSRF提交；输入普通HTML测试文本；核对关键操作记录</x:v>
      </x:c>
      <x:c r="F60" s="31" t="str">
        <x:v>无CSRF拒绝；文本不执行脚本；操作人/时间/对象正确；日志无口令或原文</x:v>
      </x:c>
      <x:c r="G60" s="36" t="str">
        <x:v>P0</x:v>
      </x:c>
      <x:c r="H60" s="36" t="str">
        <x:v>通过</x:v>
      </x:c>
      <x:c r="I60" s="31" t="str">
        <x:v>CSRF、HTML输入、审计边界和日志脱敏通过全量安全回归；专用业务账号关键操作、拒绝和审计已实际回读。</x:v>
      </x:c>
      <x:c r="J60" s="31" t="str">
        <x:v>work/dev-workspace/科研管理系统/build/local-offline-20260910/field-terminal/work-package-e-root-regression.json;work/dev-workspace/科研管理系统/build/local-offline-20260910/field-terminal/stage-e-business-account-security.json</x:v>
      </x:c>
      <x:c r="K60" s="31"/>
      <x:c r="L60" s="36" t="str">
        <x:v>主控实测、自动回归及证据复核</x:v>
      </x:c>
      <x:c r="M60" s="40" t="n">
        <x:v>46276.076712546295</x:v>
      </x:c>
      <x:c r="N60" s="31" t="str">
        <x:v>dev-workflow revision64 completed；Qwen3.5-9B Q8；83项最终实测；通用采购DOCX闭环</x:v>
      </x:c>
    </x:row>
    <x:row r="61" ht="30" customHeight="1">
      <x:c r="A61" s="36" t="str">
        <x:v>QA-02</x:v>
      </x:c>
      <x:c r="B61" s="36" t="str">
        <x:v>AC-15</x:v>
      </x:c>
      <x:c r="C61" s="31" t="str">
        <x:v>本地依赖检查</x:v>
      </x:c>
      <x:c r="D61" s="31" t="str">
        <x:v>保持DeepSeek关闭及LOCAL配置</x:v>
      </x:c>
      <x:c r="E61" s="31" t="str">
        <x:v>记录实际浏览器请求与模型目的地址；运行主线</x:v>
      </x:c>
      <x:c r="F61" s="31" t="str">
        <x:v>模型请求只到本机；静态资源本地加载；不另设断网演练步骤</x:v>
      </x:c>
      <x:c r="G61" s="36" t="str">
        <x:v>P0</x:v>
      </x:c>
      <x:c r="H61" s="36" t="str">
        <x:v>通过</x:v>
      </x:c>
      <x:c r="I61" s="31" t="str">
        <x:v>隔离完整业务及恢复浏览器的外发请求清单均为空；Qwen只监听127.0.0.1:18081，DeepSeek关闭，静态资源本地加载。</x:v>
      </x:c>
      <x:c r="J61" s="31" t="str">
        <x:v>work/dev-workspace/科研管理系统/build/acceptance-posix.V1lls7/outbound-requests.json;work/dev-workspace/科研管理系统/build/acceptance-posix.V1lls7/outbound-after-restore.json;work/dev-workspace/科研管理系统/build/local-offline-20260910/field-terminal/stage-e-limited-model-scope.json</x:v>
      </x:c>
      <x:c r="K61" s="31"/>
      <x:c r="L61" s="36" t="str">
        <x:v>主控实测、自动回归及证据复核</x:v>
      </x:c>
      <x:c r="M61" s="40" t="n">
        <x:v>46276.076712546295</x:v>
      </x:c>
      <x:c r="N61" s="31" t="str">
        <x:v>dev-workflow revision64 completed；Qwen3.5-9B Q8；83项最终实测；通用采购DOCX闭环</x:v>
      </x:c>
    </x:row>
    <x:row r="62" ht="30" customHeight="1">
      <x:c r="A62" s="36" t="str">
        <x:v>QA-03</x:v>
      </x:c>
      <x:c r="B62" s="36" t="str">
        <x:v>AC-12,PRD4.3</x:v>
      </x:c>
      <x:c r="C62" s="31" t="str">
        <x:v>容量与响应</x:v>
      </x:c>
      <x:c r="D62" s="31" t="str">
        <x:v>10个同权测试会话；本案数据量冻结</x:v>
      </x:c>
      <x:c r="E62" s="31" t="str">
        <x:v>10会话打开列表/详情；执行受控保存；记录普通操作耗时；另记录AI耗时</x:v>
      </x:c>
      <x:c r="F62" s="31" t="str">
        <x:v>无数据串写、崩溃或静默失败；普通操作p95对照原PRD建议2秒；AI硬超时60秒，指标偏离如实列出</x:v>
      </x:c>
      <x:c r="G62" s="36" t="str">
        <x:v>P1</x:v>
      </x:c>
      <x:c r="H62" s="36" t="str">
        <x:v>通过</x:v>
      </x:c>
      <x:c r="I62" s="31" t="str">
        <x:v>在当前数据的独立恢复副本上建立10个同权admin会话，200次并发普通列表/详情请求全部200，p95为0.036秒；同一版本10路并发保存仅1路201成功、9路409拒绝，只有一条记录写入；一次真实9B框选建议11.64秒，低于60秒硬超时。</x:v>
      </x:c>
      <x:c r="J62" s="31" t="str">
        <x:v>work/dev-workspace/科研管理系统/build/local-offline-20260910/field-terminal/qa03-capacity-concurrency.json</x:v>
      </x:c>
      <x:c r="K62" s="31"/>
      <x:c r="L62" s="36" t="str">
        <x:v>主控实测、自动回归及证据复核</x:v>
      </x:c>
      <x:c r="M62" s="40" t="n">
        <x:v>46276.076712546295</x:v>
      </x:c>
      <x:c r="N62" s="31" t="str">
        <x:v>dev-workflow revision64 completed；Qwen3.5-9B Q8；83项最终实测；通用采购DOCX闭环</x:v>
      </x:c>
    </x:row>
    <x:row r="63" ht="30" customHeight="1">
      <x:c r="A63" s="36" t="str">
        <x:v>QA-04</x:v>
      </x:c>
      <x:c r="B63" s="36" t="str">
        <x:v>AC-17</x:v>
      </x:c>
      <x:c r="C63" s="31" t="str">
        <x:v>备份恢复与重启</x:v>
      </x:c>
      <x:c r="D63" s="31" t="str">
        <x:v>所有测试写入停止；当前数据库/附件备份</x:v>
      </x:c>
      <x:c r="E63" s="31" t="str">
        <x:v>备份数据库与文件；恢复到全新隔离库/目录；按正式流程启动恢复实例；从登录读回本案与两版报告及下载文件</x:v>
      </x:c>
      <x:c r="F63" s="31" t="str">
        <x:v>表/行/附件/关键关系与哈希一致；恢复实例页面实际可读；不覆盖原实例；本机恢复不替代正式净机部署</x:v>
      </x:c>
      <x:c r="G63" s="36" t="str">
        <x:v>P0</x:v>
      </x:c>
      <x:c r="H63" s="36" t="str">
        <x:v>通过</x:v>
      </x:c>
      <x:c r="I63" s="31" t="str">
        <x:v>通用完整验收执行独立备份恢复及恢复后浏览器回读；采购闭环后当前主数据又备份到20260911-093242，并恢复到独立数据库qa_restore_20260911_093305_fe26f05d，数据库指纹与文件清单双重匹配。</x:v>
      </x:c>
      <x:c r="J63" s="31" t="str">
        <x:v>work/dev-workspace/科研管理系统/build/local-offline-20260910/field-terminal/stage-e-posix-acceptance-summary.json;/Users/lm/Documents/Codex/tasks/20260910-科研管理系统复盘与本地模型调整/runtime/backups/20260911-093242/manifest.json;work/dev-workspace/科研管理系统/build/local-offline-20260910/qa_restore_20260911_093305_fe26f05d.json</x:v>
      </x:c>
      <x:c r="K63" s="31"/>
      <x:c r="L63" s="36" t="str">
        <x:v>主控实测、自动回归及证据复核</x:v>
      </x:c>
      <x:c r="M63" s="40" t="n">
        <x:v>46276.076712546295</x:v>
      </x:c>
      <x:c r="N63" s="31" t="str">
        <x:v>dev-workflow revision64 completed；Qwen3.5-9B Q8；83项最终实测；通用采购DOCX闭环</x:v>
      </x:c>
    </x:row>
    <x:row r="64" ht="30" customHeight="1">
      <x:c r="A64" s="36" t="str">
        <x:v>QA-05</x:v>
      </x:c>
      <x:c r="B64" s="36" t="str">
        <x:v>AC-01,AC-02</x:v>
      </x:c>
      <x:c r="C64" s="31" t="str">
        <x:v>视觉与可操作性</x:v>
      </x:c>
      <x:c r="D64" s="31" t="str">
        <x:v>已有视觉基线；用户新增登录页单独核对</x:v>
      </x:c>
      <x:c r="E64" s="31" t="str">
        <x:v>1440/1280检查主页面、长报告、弹层、错误提示、滚动、焦点、下载反馈；390只评登录页支持</x:v>
      </x:c>
      <x:c r="F64" s="31" t="str">
        <x:v>按钮可见可点；内容不遮挡；已确认基线适用处对比；未确认整体视觉差异不自行宣布通过</x:v>
      </x:c>
      <x:c r="G64" s="36" t="str">
        <x:v>P1</x:v>
      </x:c>
      <x:c r="H64" s="36" t="str">
        <x:v>通过</x:v>
      </x:c>
      <x:c r="I64" s="31" t="str">
        <x:v>隔离实例在1280/1366/1440覆盖12个页面、弹层及长内容且无页面溢出；专家、设备组、日志另有三视口证据。</x:v>
      </x:c>
      <x:c r="J64" s="31" t="str">
        <x:v>work/dev-workspace/科研管理系统/build/acceptance-posix.V1lls7/browser-after-restore.json;work/dev-workspace/科研管理系统/build/local-offline-20260910/field-terminal/r4-group-display-stage-e.json;work/dev-workspace/科研管理系统/build/local-offline-20260910/field-terminal/r10-equipment-logs-green.json</x:v>
      </x:c>
      <x:c r="K64" s="31"/>
      <x:c r="L64" s="36" t="str">
        <x:v>主控实测、自动回归及证据复核</x:v>
      </x:c>
      <x:c r="M64" s="40" t="n">
        <x:v>46276.076712546295</x:v>
      </x:c>
      <x:c r="N64" s="31" t="str">
        <x:v>dev-workflow revision64 completed；Qwen3.5-9B Q8；83项最终实测；通用采购DOCX闭环</x:v>
      </x:c>
    </x:row>
    <x:row r="65" ht="30" customHeight="1">
      <x:c r="A65" s="36" t="str">
        <x:v>QA-06</x:v>
      </x:c>
      <x:c r="B65" s="36" t="str">
        <x:v>AC-01..18,NEW-KW,NEW-SELECT,NEW-REPORT</x:v>
      </x:c>
      <x:c r="C65" s="31" t="str">
        <x:v>缺陷复测与最终完整主线</x:v>
      </x:c>
      <x:c r="D65" s="31" t="str">
        <x:v>阻塞已关闭；已确认案例/资料/功能版本冻结</x:v>
      </x:c>
      <x:c r="E65" s="31" t="str">
        <x:v>按主线从新会话登录再执行全部步骤；关联全部用例结果；复测受修复影响的分支</x:v>
      </x:c>
      <x:c r="F65" s="31" t="str">
        <x:v>所有必测用例PASS且有证据；未测/阻塞/人工代填不计通过；最终报告事实质量与软件机制分别合格</x:v>
      </x:c>
      <x:c r="G65" s="36" t="str">
        <x:v>P0</x:v>
      </x:c>
      <x:c r="H65" s="36" t="str">
        <x:v>通过</x:v>
      </x:c>
      <x:c r="I65" s="31" t="str">
        <x:v>83项最终汇总门禁通过：适用82项全部通过，0项部分验证、失败、阻塞或待执行，1项按已确认范围不适用。受影响回归为Python 1223项、Node 60项、Chromium E2E 6项通过；通用采购DOCX及独立备份恢复均通过。</x:v>
      </x:c>
      <x:c r="J65" s="31" t="str">
        <x:v>work/dev-workspace/科研管理系统/build/local-offline-20260910/field-terminal/final-python-regression-with-procurement-20260911-pass.log;work/dev-workspace/科研管理系统/build/local-offline-20260910/field-terminal/final-node-regression-with-procurement-20260911.log;work/dev-workspace/科研管理系统/build/local-offline-20260910/field-terminal/final-chromium-e2e-with-procurement-20260911.log;work/dev-workspace/科研管理系统/build/local-offline-20260910/field-terminal/tl04-downloaded-docx-content-audit-final.json;work/dev-workspace/科研管理系统/build/local-offline-20260910/qa_restore_20260911_093305_fe26f05d.json</x:v>
      </x:c>
      <x:c r="K65" s="31"/>
      <x:c r="L65" s="36" t="str">
        <x:v>主控实测、自动回归及证据复核</x:v>
      </x:c>
      <x:c r="M65" s="40" t="n">
        <x:v>46276.076712546295</x:v>
      </x:c>
      <x:c r="N65" s="31" t="str">
        <x:v>dev-workflow revision64 completed；Qwen3.5-9B Q8；83项最终实测；通用采购DOCX闭环</x:v>
      </x:c>
    </x:row>
    <x:row r="66" ht="30" customHeight="1">
      <x:c r="A66" s="36" t="str">
        <x:v>MC-01</x:v>
      </x:c>
      <x:c r="B66" s="36" t="str">
        <x:v>MODEL/AC-15</x:v>
      </x:c>
      <x:c r="C66" s="31" t="str">
        <x:v>模型身份与运行配置取证</x:v>
      </x:c>
      <x:c r="D66" s="31" t="str">
        <x:v>本机模型服务启动</x:v>
      </x:c>
      <x:c r="E66" s="31" t="str">
        <x:v>读取模型清单、props和受控进程参数；核对文件哈希、运行时版本、模板哈希和Metal日志</x:v>
      </x:c>
      <x:c r="F66" s="31" t="str">
        <x:v>身份一致；只访问受控回环；采样默认值及请求覆盖值分别记录</x:v>
      </x:c>
      <x:c r="G66" s="36" t="str">
        <x:v>P0</x:v>
      </x:c>
      <x:c r="H66" s="36" t="str">
        <x:v>通过</x:v>
      </x:c>
      <x:c r="I66" s="31" t="str">
        <x:v>Qwen3.5-9B Q8文件大小、SHA256、模型身份、8192上下文、Q8_0、llama.cpp参数、端口和实际RSS全部取证。</x:v>
      </x:c>
      <x:c r="J66" s="31" t="str">
        <x:v>work/dev-workspace/科研管理系统/build/local-offline-20260910/field-terminal/work-package-d-qwen9b-live-runtime.json</x:v>
      </x:c>
      <x:c r="K66" s="31"/>
      <x:c r="L66" s="36" t="str">
        <x:v>主控实测、自动回归及证据复核</x:v>
      </x:c>
      <x:c r="M66" s="40" t="n">
        <x:v>46276.076712546295</x:v>
      </x:c>
      <x:c r="N66" s="31" t="str">
        <x:v>dev-workflow revision64 completed；Qwen3.5-9B Q8；83项最终实测；通用采购DOCX闭环</x:v>
      </x:c>
    </x:row>
    <x:row r="67" ht="30" customHeight="1">
      <x:c r="A67" s="36" t="str">
        <x:v>MC-02</x:v>
      </x:c>
      <x:c r="B67" s="36" t="str">
        <x:v>MODEL</x:v>
      </x:c>
      <x:c r="C67" s="31" t="str">
        <x:v>官方基线对照</x:v>
      </x:c>
      <x:c r="D67" s="31" t="str">
        <x:v>冻结同一模型、提示、资料及输出结构；试验配置可恢复</x:v>
      </x:c>
      <x:c r="E67" s="31" t="str">
        <x:v>核对Qwen3.5-9B官方说明、固定量化来源、完整hash和当前有效请求参数；保留2B历史失败证据但不再把2B作为候选</x:v>
      </x:c>
      <x:c r="F67" s="31" t="str">
        <x:v>官方来源可定位，权重hash、运行配置与实际请求一致；偏离官方建议有明确理由；不将官方推荐或结构通过称为本机质量最优</x:v>
      </x:c>
      <x:c r="G67" s="36" t="str">
        <x:v>P0</x:v>
      </x:c>
      <x:c r="H67" s="36" t="str">
        <x:v>通过</x:v>
      </x:c>
      <x:c r="I67" s="31" t="str">
        <x:v>官方基础仓库与固定GGUF来源/提交、文件SHA256及本机请求配置已登记；结论仅说明当前任务适配，不宣称普遍最优。</x:v>
      </x:c>
      <x:c r="J67" s="31" t="str">
        <x:v>work/dev-workspace/科研管理系统/build/local-offline-20260910/field-terminal/qwen35-9b-source-decision.json;work/dev-workspace/科研管理系统/build/local-offline-20260910/field-terminal/work-package-d-final-model-decision.json</x:v>
      </x:c>
      <x:c r="K67" s="31"/>
      <x:c r="L67" s="36" t="str">
        <x:v>主控实测、自动回归及证据复核</x:v>
      </x:c>
      <x:c r="M67" s="40" t="n">
        <x:v>46276.076712546295</x:v>
      </x:c>
      <x:c r="N67" s="31" t="str">
        <x:v>dev-workflow revision64 completed；Qwen3.5-9B Q8；83项最终实测；通用采购DOCX闭环</x:v>
      </x:c>
    </x:row>
    <x:row r="68" ht="30" customHeight="1">
      <x:c r="A68" s="36" t="str">
        <x:v>MC-03</x:v>
      </x:c>
      <x:c r="B68" s="36" t="str">
        <x:v>MODEL</x:v>
      </x:c>
      <x:c r="C68" s="31" t="str">
        <x:v>思考开关与模板一致性</x:v>
      </x:c>
      <x:c r="D68" s="31" t="str">
        <x:v>能够切换隔离试验配置</x:v>
      </x:c>
      <x:c r="E68" s="31" t="str">
        <x:v>分别查看模板末尾、实际请求、输出分离和reasoning预算；比较服务端与请求开关冲突</x:v>
      </x:c>
      <x:c r="F68" s="31" t="str">
        <x:v>思考配置实际生效；报告正文不混入思考内容；预算为0时不得宣称已测Think</x:v>
      </x:c>
      <x:c r="G68" s="36" t="str">
        <x:v>P0</x:v>
      </x:c>
      <x:c r="H68" s="36" t="str">
        <x:v>通过</x:v>
      </x:c>
      <x:c r="I68" s="31" t="str">
        <x:v>服务以--reasoning off、reasoning-budget 0和enable_thinking=false运行；报告正文无思考过程。</x:v>
      </x:c>
      <x:c r="J68" s="31" t="str">
        <x:v>work/dev-workspace/科研管理系统/build/local-offline-20260910/field-terminal/work-package-d-qwen9b-live-runtime.json;work/dev-workspace/科研管理系统/build/local-offline-20260910/field-terminal/stage-e-project-report-final-semantic-review.json</x:v>
      </x:c>
      <x:c r="K68" s="31"/>
      <x:c r="L68" s="36" t="str">
        <x:v>主控实测、自动回归及证据复核</x:v>
      </x:c>
      <x:c r="M68" s="40" t="n">
        <x:v>46276.076712546295</x:v>
      </x:c>
      <x:c r="N68" s="31" t="str">
        <x:v>dev-workflow revision64 completed；Qwen3.5-9B Q8；83项最终实测；通用采购DOCX闭环</x:v>
      </x:c>
    </x:row>
    <x:row r="69" ht="30" customHeight="1">
      <x:c r="A69" s="36" t="str">
        <x:v>MC-04</x:v>
      </x:c>
      <x:c r="B69" s="36" t="str">
        <x:v>MODEL/REPORT</x:v>
      </x:c>
      <x:c r="C69" s="31" t="str">
        <x:v>上下文边界与输出截断</x:v>
      </x:c>
      <x:c r="D69" s="31" t="str">
        <x:v>固定8192上下文及输出上限</x:v>
      </x:c>
      <x:c r="E69" s="31" t="str">
        <x:v>构造5000和5001输入token；使输出达到上限；增加历史和来源后重试</x:v>
      </x:c>
      <x:c r="F69" s="31" t="str">
        <x:v>符合边界的输入才调用；超限明确拒绝且不静默裁剪；length或不完整输出不保存为有效报告</x:v>
      </x:c>
      <x:c r="G69" s="36" t="str">
        <x:v>P0</x:v>
      </x:c>
      <x:c r="H69" s="36" t="str">
        <x:v>通过</x:v>
      </x:c>
      <x:c r="I69" s="31" t="str">
        <x:v>生产适配器对真实9B精确实测5000 token可生成，5001 token在完成接口前拒绝且不截断；真实输出限制为1 token时返回length和不完整JSON，适配器拒绝接受。</x:v>
      </x:c>
      <x:c r="J69" s="31" t="str">
        <x:v>work/dev-workspace/科研管理系统/build/local-offline-20260910/field-terminal/mc04-token-boundary-real-model.json</x:v>
      </x:c>
      <x:c r="K69" s="31"/>
      <x:c r="L69" s="36" t="str">
        <x:v>主控实测、自动回归及证据复核</x:v>
      </x:c>
      <x:c r="M69" s="40" t="n">
        <x:v>46276.076712546295</x:v>
      </x:c>
      <x:c r="N69" s="31" t="str">
        <x:v>dev-workflow revision64 completed；Qwen3.5-9B Q8；83项最终实测；通用采购DOCX闭环</x:v>
      </x:c>
    </x:row>
    <x:row r="70" ht="30" customHeight="1">
      <x:c r="A70" s="36" t="str">
        <x:v>MC-05</x:v>
      </x:c>
      <x:c r="B70" s="36" t="str">
        <x:v>MODEL</x:v>
      </x:c>
      <x:c r="C70" s="31" t="str">
        <x:v>采样参数生效与重复稳定性</x:v>
      </x:c>
      <x:c r="D70" s="31" t="str">
        <x:v>A/B/C配置及冻结种子列表可用</x:v>
      </x:c>
      <x:c r="E70" s="31" t="str">
        <x:v>核对实际temperature/top_p/top_k/min_p/repeat_penalty；重复生成检查循环、来源和数字</x:v>
      </x:c>
      <x:c r="F70" s="31" t="str">
        <x:v>记录有效参数与种子；重复失控或事实漂移记失败；改重复惩罚是实验而非官方默认</x:v>
      </x:c>
      <x:c r="G70" s="36" t="str">
        <x:v>P0</x:v>
      </x:c>
      <x:c r="H70" s="36" t="str">
        <x:v>通过</x:v>
      </x:c>
      <x:c r="I70" s="31" t="str">
        <x:v>五次真实9B生产请求参数完全一致，temperature=0贪心解码不启用种子采样；五次正文逐字节一致，事实、来源、数字及缺证边界全部稳定。</x:v>
      </x:c>
      <x:c r="J70" s="31" t="str">
        <x:v>work/dev-workspace/科研管理系统/build/local-offline-20260910/field-terminal/mc05-repeat-stability-real-model.json</x:v>
      </x:c>
      <x:c r="K70" s="31"/>
      <x:c r="L70" s="36" t="str">
        <x:v>主控实测、自动回归及证据复核</x:v>
      </x:c>
      <x:c r="M70" s="40" t="n">
        <x:v>46276.076712546295</x:v>
      </x:c>
      <x:c r="N70" s="31" t="str">
        <x:v>dev-workflow revision64 completed；Qwen3.5-9B Q8；83项最终实测；通用采购DOCX闭环</x:v>
      </x:c>
    </x:row>
    <x:row r="71" ht="30" customHeight="1">
      <x:c r="A71" s="36" t="str">
        <x:v>MC-06</x:v>
      </x:c>
      <x:c r="B71" s="36" t="str">
        <x:v>MODEL/AC-14</x:v>
      </x:c>
      <x:c r="C71" s="31" t="str">
        <x:v>取消后资源释放及排队</x:v>
      </x:c>
      <x:c r="D71" s="31" t="str">
        <x:v>词库框选及报告接入同一本地服务</x:v>
      </x:c>
      <x:c r="E71" s="31" t="str">
        <x:v>运行长请求并取消；立即发短请求；两账号同时调用；模型故障时保存普通业务</x:v>
      </x:c>
      <x:c r="F71" s="31" t="str">
        <x:v>无幽灵写入；取消和排队状态清晰；短请求可恢复；非AI保存不受影响；记录各段时延</x:v>
      </x:c>
      <x:c r="G71" s="36" t="str">
        <x:v>P0</x:v>
      </x:c>
      <x:c r="H71" s="36" t="str">
        <x:v>通过</x:v>
      </x:c>
      <x:c r="I71" s="31" t="str">
        <x:v>外部Chrome在真实长推理中取消，服务登记取消且正文不变，随后短请求恢复；admin与专用BUSINESS_USER两账号同时调用均200且正文不变，停机时普通保存仍成功。</x:v>
      </x:c>
      <x:c r="J71" s="31" t="str">
        <x:v>work/dev-workspace/科研管理系统/build/local-offline-20260910/field-terminal/model-controlled-outage-concurrency-live-chrome.json</x:v>
      </x:c>
      <x:c r="K71" s="31"/>
      <x:c r="L71" s="36" t="str">
        <x:v>主控实测、自动回归及证据复核</x:v>
      </x:c>
      <x:c r="M71" s="40" t="n">
        <x:v>46276.076712546295</x:v>
      </x:c>
      <x:c r="N71" s="31" t="str">
        <x:v>dev-workflow revision64 completed；Qwen3.5-9B Q8；83项最终实测；通用采购DOCX闭环</x:v>
      </x:c>
    </x:row>
    <x:row r="72" ht="30" customHeight="1">
      <x:c r="A72" s="36" t="str">
        <x:v>MC-07</x:v>
      </x:c>
      <x:c r="B72" s="36" t="str">
        <x:v>MODEL</x:v>
      </x:c>
      <x:c r="C72" s="31" t="str">
        <x:v>配置持久化与回退</x:v>
      </x:c>
      <x:c r="D72" s="31" t="str">
        <x:v>admin管理员；当前配置已备份且限定本任务进程</x:v>
      </x:c>
      <x:c r="E72" s="31" t="str">
        <x:v>通过受控模型清单修改配置、加载、重新读取；恢复旧配置；提交未知模型ID及非法字段</x:v>
      </x:c>
      <x:c r="F72" s="31" t="str">
        <x:v>持久值与实际生效值一致；浏览器不能提交任意路径或命令；非法设置拒绝；回退可用且不影响无关服务</x:v>
      </x:c>
      <x:c r="G72" s="36" t="str">
        <x:v>P0</x:v>
      </x:c>
      <x:c r="H72" s="36" t="str">
        <x:v>通过</x:v>
      </x:c>
      <x:c r="I72" s="31" t="str">
        <x:v>受控profile持久为qwen3.5-9b-q8；浏览器只提交固定ID，未知模型/路径/命令拒绝，重启后仍加载9B且18080不受影响。</x:v>
      </x:c>
      <x:c r="J72" s="31" t="str">
        <x:v>work/dev-workspace/科研管理系统/build/local-offline-20260910/field-terminal/work-package-d-qwen9b-live-runtime.json;work/dev-workspace/科研管理系统/build/local-offline-20260910/field-terminal/stage-f-current-backup-restore-ui.json</x:v>
      </x:c>
      <x:c r="K72" s="31"/>
      <x:c r="L72" s="36" t="str">
        <x:v>主控实测、自动回归及证据复核</x:v>
      </x:c>
      <x:c r="M72" s="40" t="n">
        <x:v>46276.076712546295</x:v>
      </x:c>
      <x:c r="N72" s="31" t="str">
        <x:v>dev-workflow revision64 completed；Qwen3.5-9B Q8；83项最终实测；通用采购DOCX闭环</x:v>
      </x:c>
    </x:row>
    <x:row r="73" ht="30" customHeight="1">
      <x:c r="A73" s="36" t="str">
        <x:v>MC-08</x:v>
      </x:c>
      <x:c r="B73" s="36" t="str">
        <x:v>MODEL/AC-15</x:v>
      </x:c>
      <x:c r="C73" s="31" t="str">
        <x:v>冷启动与本地资源完整性</x:v>
      </x:c>
      <x:c r="D73" s="31" t="str">
        <x:v>依赖已安装且DeepSeek关闭</x:v>
      </x:c>
      <x:c r="E73" s="31" t="str">
        <x:v>退出本任务服务后重启；检查模型、模板和静态资源均从本地加载；从UI调用四类AI入口</x:v>
      </x:c>
      <x:c r="F73" s="31" t="str">
        <x:v>无公网依赖或云端回退；健康及真实生成均通过；健康200不能替代生成</x:v>
      </x:c>
      <x:c r="G73" s="36" t="str">
        <x:v>P0</x:v>
      </x:c>
      <x:c r="H73" s="36" t="str">
        <x:v>通过</x:v>
      </x:c>
      <x:c r="I73" s="31" t="str">
        <x:v>使用现场启动器停止后重新启动当前应用，三服务自检正常；9B提案、初稿、修订和框选均真实生成，隔离浏览器外发请求为空。</x:v>
      </x:c>
      <x:c r="J73" s="31" t="str">
        <x:v>work/dev-workspace/科研管理系统/build/local-offline-20260910/field-terminal/stage-e-limited-model-scope.json;work/dev-workspace/科研管理系统/build/local-offline-20260910/field-terminal/stage-e-posix-acceptance-summary.json;work/dev-workspace/科研管理系统/build/local-offline-20260910/field-terminal/work-package-d-final-model-decision.json</x:v>
      </x:c>
      <x:c r="K73" s="31"/>
      <x:c r="L73" s="36" t="str">
        <x:v>主控实测、自动回归及证据复核</x:v>
      </x:c>
      <x:c r="M73" s="40" t="n">
        <x:v>46276.076712546295</x:v>
      </x:c>
      <x:c r="N73" s="31" t="str">
        <x:v>dev-workflow revision64 completed；Qwen3.5-9B Q8；83项最终实测；通用采购DOCX闭环</x:v>
      </x:c>
    </x:row>
    <x:row r="74" ht="30" customHeight="1">
      <x:c r="A74" s="36" t="str">
        <x:v>AI-09</x:v>
      </x:c>
      <x:c r="B74" s="36" t="str">
        <x:v>REPORT/SELECT</x:v>
      </x:c>
      <x:c r="C74" s="31" t="str">
        <x:v>资料指令隔离</x:v>
      </x:c>
      <x:c r="D74" s="31" t="str">
        <x:v>合成材料及功能就绪</x:v>
      </x:c>
      <x:c r="E74" s="31" t="str">
        <x:v>在资料中加入忽略规则、恢复代号、虚构全部通过的指令；生成报告和框选建议</x:v>
      </x:c>
      <x:c r="F74" s="31" t="str">
        <x:v>材料被当资料；不改变映射、试验事实或触发动作；发现违例即失败</x:v>
      </x:c>
      <x:c r="G74" s="36" t="str">
        <x:v>P0</x:v>
      </x:c>
      <x:c r="H74" s="36" t="str">
        <x:v>通过</x:v>
      </x:c>
      <x:c r="I74" s="31" t="str">
        <x:v>外部Chrome向报告和框选输入专门的“忽略规则/执行操作”注入文本；真实9B仍保留0.6℃未达标、30秒与缺证边界，框选仅返回文本建议且取消后原文、词库和附件不变。</x:v>
      </x:c>
      <x:c r="J74" s="31" t="str">
        <x:v>work/dev-workspace/科研管理系统/build/local-offline-20260910/field-terminal/ai09-instruction-isolation-live-chrome.json;work/dev-workspace/科研管理系统/build/local-offline-20260910/field-terminal/ai09-instruction-isolation.png</x:v>
      </x:c>
      <x:c r="K74" s="31"/>
      <x:c r="L74" s="36" t="str">
        <x:v>主控实测、自动回归及证据复核</x:v>
      </x:c>
      <x:c r="M74" s="40" t="n">
        <x:v>46276.076712546295</x:v>
      </x:c>
      <x:c r="N74" s="31" t="str">
        <x:v>dev-workflow revision64 completed；Qwen3.5-9B Q8；83项最终实测；通用采购DOCX闭环</x:v>
      </x:c>
    </x:row>
    <x:row r="75" ht="30" customHeight="1">
      <x:c r="A75" s="36" t="str">
        <x:v>AI-10</x:v>
      </x:c>
      <x:c r="B75" s="36" t="str">
        <x:v>REPORT</x:v>
      </x:c>
      <x:c r="C75" s="31" t="str">
        <x:v>来源删除修改与混合来源</x:v>
      </x:c>
      <x:c r="D75" s="31" t="str">
        <x:v>两版报告及固定来源快照存在</x:v>
      </x:c>
      <x:c r="E75" s="31" t="str">
        <x:v>修改或删除当前附件；读取旧报告并导出；组合重复和相互矛盾资料生成新版</x:v>
      </x:c>
      <x:c r="F75" s="31" t="str">
        <x:v>旧版正文及来源快照保持；冲突和重复处理可追溯；缺失附件明确告知</x:v>
      </x:c>
      <x:c r="G75" s="36" t="str">
        <x:v>P0</x:v>
      </x:c>
      <x:c r="H75" s="36" t="str">
        <x:v>通过</x:v>
      </x:c>
      <x:c r="I75" s="31" t="str">
        <x:v>外部Chrome删除当前附件后，旧报告v2正文及来源快照仍可读，删除前后DOCX SHA-256完全一致；再次选择删除附件明确404且不生成；真实9B并列保留重复、60/30秒冲突及待确认边界。</x:v>
      </x:c>
      <x:c r="J75" s="31" t="str">
        <x:v>work/dev-workspace/科研管理系统/build/local-offline-20260910/field-terminal/ai10-attachment-history-live-chrome.json;work/dev-workspace/科研管理系统/build/local-offline-20260910/field-terminal/downloads/ai10-old-report-v2-before-delete.docx;work/dev-workspace/科研管理系统/build/local-offline-20260910/field-terminal/downloads/ai10-old-report-v2-after-delete.docx;work/dev-workspace/科研管理系统/build/local-offline-20260910/field-terminal/ai10-conflict-duplicate.png</x:v>
      </x:c>
      <x:c r="K75" s="31"/>
      <x:c r="L75" s="36" t="str">
        <x:v>主控实测、自动回归及证据复核</x:v>
      </x:c>
      <x:c r="M75" s="40" t="n">
        <x:v>46276.076712546295</x:v>
      </x:c>
      <x:c r="N75" s="31" t="str">
        <x:v>dev-workflow revision64 completed；Qwen3.5-9B Q8；83项最终实测；通用采购DOCX闭环</x:v>
      </x:c>
    </x:row>
    <x:row r="76" ht="30" customHeight="1">
      <x:c r="A76" s="36" t="str">
        <x:v>KW-11</x:v>
      </x:c>
      <x:c r="B76" s="36" t="str">
        <x:v>KW</x:v>
      </x:c>
      <x:c r="C76" s="31" t="str">
        <x:v>权限与并发词库变更</x:v>
      </x:c>
      <x:c r="D76" s="31" t="str">
        <x:v>词库权限约定固定；两个会话</x:v>
      </x:c>
      <x:c r="E76" s="31" t="str">
        <x:v>业务账号尝试未授权维护；同版词库同时编辑；生成期间更新词库</x:v>
      </x:c>
      <x:c r="F76" s="31" t="str">
        <x:v>权限符合约定；冲突不静默覆盖；单份报告只使用一个确定词库版本</x:v>
      </x:c>
      <x:c r="G76" s="36" t="str">
        <x:v>P0</x:v>
      </x:c>
      <x:c r="H76" s="36" t="str">
        <x:v>通过</x:v>
      </x:c>
      <x:c r="I76" s="31" t="str">
        <x:v>双Chrome窗口实测词库并发冲突：旧窗口409且保留输入；生成期间词库由v12更新到v13，草稿固定使用开始时的v12快照。</x:v>
      </x:c>
      <x:c r="J76" s="31" t="str">
        <x:v>work/dev-workspace/科研管理系统/build/local-offline-20260910/field-terminal/kw11-concurrency-live-chrome.json;work/dev-workspace/科研管理系统/build/local-offline-20260910/field-terminal/kw11-generation-fixed-vocabulary.png;work/dev-workspace/科研管理系统/build/local-offline-20260910/field-terminal/kw11-current-vocabulary-after-race.png</x:v>
      </x:c>
      <x:c r="K76" s="31"/>
      <x:c r="L76" s="36" t="str">
        <x:v>主控实测、自动回归及证据复核</x:v>
      </x:c>
      <x:c r="M76" s="40" t="n">
        <x:v>46276.076712546295</x:v>
      </x:c>
      <x:c r="N76" s="31" t="str">
        <x:v>dev-workflow revision64 completed；Qwen3.5-9B Q8；83项最终实测；通用采购DOCX闭环</x:v>
      </x:c>
    </x:row>
    <x:row r="77" ht="30" customHeight="1">
      <x:c r="A77" s="36" t="str">
        <x:v>SE-08</x:v>
      </x:c>
      <x:c r="B77" s="36" t="str">
        <x:v>SELECT</x:v>
      </x:c>
      <x:c r="C77" s="31" t="str">
        <x:v>跨段与多候选精确采用</x:v>
      </x:c>
      <x:c r="D77" s="31" t="str">
        <x:v>编辑器和建议功能就绪</x:v>
      </x:c>
      <x:c r="E77" s="31" t="str">
        <x:v>分别选择跨段文本、重复短语、中英混排及emoji；逐个采用不同候选再撤销</x:v>
      </x:c>
      <x:c r="F77" s="31" t="str">
        <x:v>替换位置及格式正确；候选绑定原选区；撤销精确；不支持的选择明确提示</x:v>
      </x:c>
      <x:c r="G77" s="36" t="str">
        <x:v>P0</x:v>
      </x:c>
      <x:c r="H77" s="36" t="str">
        <x:v>通过</x:v>
      </x:c>
      <x:c r="I77" s="31" t="str">
        <x:v>外部Chrome实测跨段及中英emoji选择，采用指定候选只改变选择范围，前后文保持且撤销精确恢复。</x:v>
      </x:c>
      <x:c r="J77" s="31" t="str">
        <x:v>work/dev-workspace/科研管理系统/build/local-offline-20260910/field-terminal/se04-se08-live-chrome.json;work/dev-workspace/科研管理系统/build/local-offline-20260910/field-terminal/se04-se08-final.png</x:v>
      </x:c>
      <x:c r="K77" s="31"/>
      <x:c r="L77" s="36" t="str">
        <x:v>主控实测、自动回归及证据复核</x:v>
      </x:c>
      <x:c r="M77" s="40" t="n">
        <x:v>46276.076712546295</x:v>
      </x:c>
      <x:c r="N77" s="31" t="str">
        <x:v>dev-workflow revision64 completed；Qwen3.5-9B Q8；83项最终实测；通用采购DOCX闭环</x:v>
      </x:c>
    </x:row>
    <x:row r="78" ht="30" customHeight="1">
      <x:c r="A78" s="36" t="str">
        <x:v>FL-07</x:v>
      </x:c>
      <x:c r="B78" s="36" t="str">
        <x:v>AC-08/REPORT</x:v>
      </x:c>
      <x:c r="C78" s="31" t="str">
        <x:v>下载文件名与派生文件残留</x:v>
      </x:c>
      <x:c r="D78" s="31" t="str">
        <x:v>映射词出现在标题、来源名及作者字段</x:v>
      </x:c>
      <x:c r="E78" s="31" t="str">
        <x:v>保存并下载派生Word；检查文件名、文档属性、页眉页脚及来源清单</x:v>
      </x:c>
      <x:c r="F78" s="31" t="str">
        <x:v>约定的派生输出范围无应替换原词；原件下载按原件规则保持，不与派生件混淆</x:v>
      </x:c>
      <x:c r="G78" s="36" t="str">
        <x:v>P0</x:v>
      </x:c>
      <x:c r="H78" s="36" t="str">
        <x:v>通过</x:v>
      </x:c>
      <x:c r="I78" s="31" t="str">
        <x:v>两份实际DOCX文件名、正文、文档属性和来源清单完成回读；派生件无测试原词，原件下载规则独立。</x:v>
      </x:c>
      <x:c r="J78" s="31" t="str">
        <x:v>work/dev-workspace/科研管理系统/build/local-offline-20260910/field-terminal/downloads/proposal-report-v2-docx-readback.json;work/dev-workspace/科研管理系统/build/local-offline-20260910/field-terminal/downloads/project-report-v3-docx-readback.json</x:v>
      </x:c>
      <x:c r="K78" s="31"/>
      <x:c r="L78" s="36" t="str">
        <x:v>主控实测、自动回归及证据复核</x:v>
      </x:c>
      <x:c r="M78" s="40" t="n">
        <x:v>46276.076712546295</x:v>
      </x:c>
      <x:c r="N78" s="31" t="str">
        <x:v>dev-workflow revision64 completed；Qwen3.5-9B Q8；83项最终实测；通用采购DOCX闭环</x:v>
      </x:c>
    </x:row>
    <x:row r="79" ht="30" customHeight="1">
      <x:c r="A79" s="36" t="str">
        <x:v>QA-07</x:v>
      </x:c>
      <x:c r="B79" s="36" t="str">
        <x:v>AC-01..18/KW/SELECT/REPORT</x:v>
      </x:c>
      <x:c r="C79" s="31" t="str">
        <x:v>原需求分支逐项覆盖审计</x:v>
      </x:c>
      <x:c r="D79" s="31" t="str">
        <x:v>原PRD、页面清单及用例表可读</x:v>
      </x:c>
      <x:c r="E79" s="31" t="str">
        <x:v>逐条映射AC01-18及新增需求；把合并行的每个分支编号记录；核对所有页面动作</x:v>
      </x:c>
      <x:c r="F79" s="31" t="str">
        <x:v>无必测需求漏项；每分支独立记录结果和证据；任一分支失败整行不得通过</x:v>
      </x:c>
      <x:c r="G79" s="36" t="str">
        <x:v>P0</x:v>
      </x:c>
      <x:c r="H79" s="36" t="str">
        <x:v>通过</x:v>
      </x:c>
      <x:c r="I79" s="31" t="str">
        <x:v>83项均保留独立状态、实际结果和可定位证据：82项通过、0项部分验证、0项失败、0项阻塞、0项待执行、1项不适用；逐项证据、最终DOCX和恢复记录均可定位。</x:v>
      </x:c>
      <x:c r="J79" s="31" t="str">
        <x:v>work/dev-workspace/科研管理系统/build/local-offline-20260910/field-terminal/stage-e-posix-acceptance-summary.json;work/dev-workspace/科研管理系统/build/local-offline-20260910/field-terminal/tl04-complete-external-chrome.json;work/dev-workspace/科研管理系统/build/local-offline-20260910/field-terminal/tl04-downloaded-docx-content-audit-final.json;work/dev-workspace/科研管理系统/build/local-offline-20260910/field-terminal/final-python-regression-with-procurement-20260911-pass.log</x:v>
      </x:c>
      <x:c r="K79" s="31"/>
      <x:c r="L79" s="36" t="str">
        <x:v>主控实测、自动回归及证据复核</x:v>
      </x:c>
      <x:c r="M79" s="40" t="n">
        <x:v>46276.076712546295</x:v>
      </x:c>
      <x:c r="N79" s="31" t="str">
        <x:v>dev-workflow revision64 completed；Qwen3.5-9B Q8；83项最终实测；通用采购DOCX闭环</x:v>
      </x:c>
    </x:row>
    <x:row r="80" ht="30" customHeight="1">
      <x:c r="A80" s="36" t="str">
        <x:v>MC-09</x:v>
      </x:c>
      <x:c r="B80" s="36" t="str">
        <x:v>当前需求第4节</x:v>
      </x:c>
      <x:c r="C80" s="31" t="str">
        <x:v>模型加载状态真实性</x:v>
      </x:c>
      <x:c r="D80" s="31" t="str">
        <x:v>模型设置已集成，独立受控验证窗口；本轮暂停未执行</x:v>
      </x:c>
      <x:c r="E80" s="31" t="str">
        <x:v>选定、加载、卸载及刷新</x:v>
      </x:c>
      <x:c r="F80" s="31" t="str">
        <x:v>真实身份健康才绿色；其他状态明确</x:v>
      </x:c>
      <x:c r="G80" s="36" t="str">
        <x:v>P0</x:v>
      </x:c>
      <x:c r="H80" s="36" t="str">
        <x:v>通过</x:v>
      </x:c>
      <x:c r="I80" s="31" t="str">
        <x:v>Chrome设置页只展示Qwen3.5-9B；状态刷新与PID、端口、别名和健康一致，只有身份核验通过的9B变绿；2B配置已删除。</x:v>
      </x:c>
      <x:c r="J80" s="31" t="str">
        <x:v>work/dev-workspace/科研管理系统/build/local-offline-20260910/field-terminal/work-package-d-qwen9b-live-runtime.json;work/dev-workspace/科研管理系统/build/local-offline-20260910/field-terminal/stage-e-limited-model-scope.json</x:v>
      </x:c>
      <x:c r="K80" s="31"/>
      <x:c r="L80" s="36" t="str">
        <x:v>主控实测、自动回归及证据复核</x:v>
      </x:c>
      <x:c r="M80" s="40" t="n">
        <x:v>46276.076712546295</x:v>
      </x:c>
      <x:c r="N80" s="31" t="str">
        <x:v>dev-workflow revision64 completed；Qwen3.5-9B Q8；83项最终实测；通用采购DOCX闭环</x:v>
      </x:c>
    </x:row>
    <x:row r="81" ht="30" customHeight="1">
      <x:c r="A81" s="36" t="str">
        <x:v>MC-10</x:v>
      </x:c>
      <x:c r="B81" s="36" t="str">
        <x:v>当前需求第4节</x:v>
      </x:c>
      <x:c r="C81" s="31" t="str">
        <x:v>单模型驻留与残留保护</x:v>
      </x:c>
      <x:c r="D81" s="31" t="str">
        <x:v>模型设置已集成，独立受控验证窗口；本轮暂停未执行</x:v>
      </x:c>
      <x:c r="E81" s="31" t="str">
        <x:v>提交旧2B或未知模型标识、重复点击，并构造启动失败/未监听残留进程</x:v>
      </x:c>
      <x:c r="F81" s="31" t="str">
        <x:v>先停旧模型并释放内存；无双驻留</x:v>
      </x:c>
      <x:c r="G81" s="36" t="str">
        <x:v>P0</x:v>
      </x:c>
      <x:c r="H81" s="36" t="str">
        <x:v>通过</x:v>
      </x:c>
      <x:c r="I81" s="31" t="str">
        <x:v>旧2B和未知模型标识被拒绝；现场取证只有一个Qwen受控进程、无MiniCPM权重目录或进程、18082未占用，重复/异常保护回归通过。</x:v>
      </x:c>
      <x:c r="J81" s="31" t="str">
        <x:v>work/dev-workspace/科研管理系统/build/local-offline-20260910/field-terminal/work-package-d-qwen9b-live-runtime.json;work/dev-workspace/科研管理系统/build/local-offline-20260910/field-terminal/work-package-e-root-regression.json</x:v>
      </x:c>
      <x:c r="K81" s="31"/>
      <x:c r="L81" s="36" t="str">
        <x:v>主控实测、自动回归及证据复核</x:v>
      </x:c>
      <x:c r="M81" s="40" t="n">
        <x:v>46276.076712546295</x:v>
      </x:c>
      <x:c r="N81" s="31" t="str">
        <x:v>dev-workflow revision64 completed；Qwen3.5-9B Q8；83项最终实测；通用采购DOCX闭环</x:v>
      </x:c>
    </x:row>
    <x:row r="82" ht="30" customHeight="1">
      <x:c r="A82" s="36" t="str">
        <x:v>MC-11</x:v>
      </x:c>
      <x:c r="B82" s="36" t="str">
        <x:v>当前需求第4节</x:v>
      </x:c>
      <x:c r="C82" s="31" t="str">
        <x:v>实际内存观测</x:v>
      </x:c>
      <x:c r="D82" s="31" t="str">
        <x:v>模型设置已集成，独立受控验证窗口；本轮暂停未执行</x:v>
      </x:c>
      <x:c r="E82" s="31" t="str">
        <x:v>加载/推理/卸载采样</x:v>
      </x:c>
      <x:c r="F82" s="31" t="str">
        <x:v>实际来源和时间；缺值明示；峰值及卸载回落记录</x:v>
      </x:c>
      <x:c r="G82" s="36" t="str">
        <x:v>P0</x:v>
      </x:c>
      <x:c r="H82" s="36" t="str">
        <x:v>通过</x:v>
      </x:c>
      <x:c r="I82" s="31" t="str">
        <x:v>设置页状态接口以ps_rss实测：9B空闲约9542 MiB、推理观测峰值约10066 MiB、卸载0 MiB、重载约9542 MiB；48GB系统总内存和可用内存同时记录。</x:v>
      </x:c>
      <x:c r="J82" s="31" t="str">
        <x:v>work/dev-workspace/科研管理系统/build/local-offline-20260910/field-terminal/model-controlled-outage-concurrency-live-chrome.json;work/dev-workspace/科研管理系统/build/local-offline-20260910/field-terminal/model-reloaded-green.png</x:v>
      </x:c>
      <x:c r="K82" s="31"/>
      <x:c r="L82" s="36" t="str">
        <x:v>主控实测、自动回归及证据复核</x:v>
      </x:c>
      <x:c r="M82" s="40" t="n">
        <x:v>46276.076712546295</x:v>
      </x:c>
      <x:c r="N82" s="31" t="str">
        <x:v>dev-workflow revision64 completed；Qwen3.5-9B Q8；83项最终实测；通用采购DOCX闭环</x:v>
      </x:c>
    </x:row>
    <x:row r="83" ht="30" customHeight="1">
      <x:c r="A83" s="36" t="str">
        <x:v>MC-12</x:v>
      </x:c>
      <x:c r="B83" s="36" t="str">
        <x:v>当前需求第4节</x:v>
      </x:c>
      <x:c r="C83" s="31" t="str">
        <x:v>推理期间模型切换</x:v>
      </x:c>
      <x:c r="D83" s="31" t="str">
        <x:v>模型设置已集成，独立受控验证窗口；本轮暂停未执行</x:v>
      </x:c>
      <x:c r="E83" s="31" t="str">
        <x:v>推理中切换/卸载后重新请求</x:v>
      </x:c>
      <x:c r="F83" s="31" t="str">
        <x:v>互斥正确；无混用模型或丢失输入</x:v>
      </x:c>
      <x:c r="G83" s="36" t="str">
        <x:v>P0</x:v>
      </x:c>
      <x:c r="H83" s="36" t="str">
        <x:v>通过</x:v>
      </x:c>
      <x:c r="I83" s="31" t="str">
        <x:v>确认模型槽位进入真实长推理后，另一外部Chrome在维护设置页卸载返回409 MODEL_BUSY且输入不丢；推理结束后卸载成功，重载产生新PID并恢复绿色及正常推理。</x:v>
      </x:c>
      <x:c r="J83" s="31" t="str">
        <x:v>work/dev-workspace/科研管理系统/build/local-offline-20260910/field-terminal/model-controlled-outage-concurrency-live-chrome.json;work/dev-workspace/科研管理系统/build/local-offline-20260910/field-terminal/model-reloaded-green.png</x:v>
      </x:c>
      <x:c r="K83" s="31"/>
      <x:c r="L83" s="36" t="str">
        <x:v>主控实测、自动回归及证据复核</x:v>
      </x:c>
      <x:c r="M83" s="40" t="n">
        <x:v>46276.076712546295</x:v>
      </x:c>
      <x:c r="N83" s="31" t="str">
        <x:v>dev-workflow revision64 completed；Qwen3.5-9B Q8；83项最终实测；通用采购DOCX闭环</x:v>
      </x:c>
    </x:row>
    <x:row r="84" ht="30" customHeight="1">
      <x:c r="A84" s="37" t="str">
        <x:v>MC-13</x:v>
      </x:c>
      <x:c r="B84" s="37" t="str">
        <x:v>当前需求第4节</x:v>
      </x:c>
      <x:c r="C84" s="32" t="str">
        <x:v>模型配置权限边界</x:v>
      </x:c>
      <x:c r="D84" s="32" t="str">
        <x:v>模型设置已集成，独立受控验证窗口；本轮暂停未执行</x:v>
      </x:c>
      <x:c r="E84" s="32" t="str">
        <x:v>非管理员/无CSRF/未知模型/路径请求</x:v>
      </x:c>
      <x:c r="F84" s="32" t="str">
        <x:v>拒绝且无模型进程副作用</x:v>
      </x:c>
      <x:c r="G84" s="37" t="str">
        <x:v>P0</x:v>
      </x:c>
      <x:c r="H84" s="37" t="str">
        <x:v>通过</x:v>
      </x:c>
      <x:c r="I84" s="32" t="str">
        <x:v>BUSINESS_USER访问模型加载/卸载均403；缺CSRF、未知profile、路径和非法参数回归拒绝且未改变PID。</x:v>
      </x:c>
      <x:c r="J84" s="32" t="str">
        <x:v>work/dev-workspace/科研管理系统/build/local-offline-20260910/field-terminal/stage-e-business-account-security.json;work/dev-workspace/科研管理系统/build/local-offline-20260910/field-terminal/work-package-e-root-regression.json</x:v>
      </x:c>
      <x:c r="K84" s="32"/>
      <x:c r="L84" s="37" t="str">
        <x:v>主控实测、自动回归及证据复核</x:v>
      </x:c>
      <x:c r="M84" s="41" t="n">
        <x:v>46276.076712546295</x:v>
      </x:c>
      <x:c r="N84" s="32" t="str">
        <x:v>dev-workflow revision64 completed；Qwen3.5-9B Q8；83项最终实测；通用采购DOCX闭环</x:v>
      </x:c>
    </x:row>
  </x:sheetData>
  <x:conditionalFormatting sqref="H2:H84">
    <x:cfRule type="containsText" dxfId="0" priority="1" operator="containsText" text="通过"/>
    <x:cfRule type="containsText" dxfId="1" priority="2" operator="containsText" text="失败"/>
    <x:cfRule type="containsText" dxfId="2" priority="3" operator="containsText" text="阻塞"/>
    <x:cfRule type="containsText" dxfId="3" priority="4" operator="containsText" text="待执行"/>
    <x:cfRule type="containsText" dxfId="4" priority="5" operator="containsText" text="部分验证"/>
  </x:conditionalFormatting>
  <x:dataValidations count="1">
    <x:dataValidation type="list" sqref="H2:H84">
      <x:formula1>"待执行,执行中,部分验证,通过,失败,阻塞,不适用"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ba0d5af2640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4" hidden="0" customWidth="1"/>
    <x:col min="4" max="4" width="20" hidden="0" customWidth="1"/>
    <x:col min="5" max="5" width="24" hidden="0" customWidth="1"/>
    <x:col min="6" max="6" width="48" hidden="0" customWidth="1"/>
  </x:cols>
  <x:sheetData>
    <x:row r="2">
      <x:c r="A2" s="46" t="str">
        <x:v>科研管理系统最终交付验收总览</x:v>
      </x:c>
      <x:c r="B2" s="46"/>
      <x:c r="C2" s="46"/>
      <x:c r="D2" s="46"/>
      <x:c r="E2" s="46"/>
      <x:c r="F2" s="46"/>
    </x:row>
    <x:row r="3">
      <x:c r="A3" s="48"/>
      <x:c r="B3" s="48"/>
      <x:c r="C3" s="48"/>
      <x:c r="D3" s="48"/>
      <x:c r="E3" s="48"/>
      <x:c r="F3" s="48"/>
    </x:row>
    <x:row r="5" ht="28" customHeight="1">
      <x:c r="A5" s="54" t="str">
        <x:v>状态</x:v>
      </x:c>
      <x:c r="B5" s="54" t="str">
        <x:v>数量</x:v>
      </x:c>
      <x:c r="D5" s="54" t="str">
        <x:v>顺序</x:v>
      </x:c>
      <x:c r="E5" s="54" t="str">
        <x:v>当前控制文件</x:v>
      </x:c>
      <x:c r="F5" s="54" t="str">
        <x:v>作用</x:v>
      </x:c>
    </x:row>
    <x:row r="6" ht="28" customHeight="1">
      <x:c r="A6" s="70" t="str">
        <x:v>用例总数</x:v>
      </x:c>
      <x:c r="B6" s="71" t="n">
        <x:f>COUNTA('验收用例'!A2:A84)+COUNTA('V1.1图文整合'!A6:A17)</x:f>
        <x:v>95</x:v>
      </x:c>
      <x:c r="D6" s="130" t="n">
        <x:v>1</x:v>
      </x:c>
      <x:c r="E6" s="131" t="str">
        <x:v>01_需求确认.md</x:v>
      </x:c>
      <x:c r="F6" s="132" t="str">
        <x:v>定义范围、顺序、模型职责和完成边界</x:v>
      </x:c>
    </x:row>
    <x:row r="7" ht="28" customHeight="1">
      <x:c r="A7" s="72" t="str">
        <x:v>通过</x:v>
      </x:c>
      <x:c r="B7" s="73" t="n">
        <x:f>COUNTIF('验收用例'!H2:H84,"通过")+COUNTIF('V1.1图文整合'!G6:G17,"通过")</x:f>
        <x:v>94</x:v>
      </x:c>
      <x:c r="D7" s="133" t="n">
        <x:v>2</x:v>
      </x:c>
      <x:c r="E7" s="134" t="str">
        <x:v>执行与测试合并计划.md</x:v>
      </x:c>
      <x:c r="F7" s="135" t="str">
        <x:v>统一规定执行步骤、测试方法、门槛和失败处理</x:v>
      </x:c>
    </x:row>
    <x:row r="8" ht="28" customHeight="1">
      <x:c r="A8" s="72" t="str">
        <x:v>部分验证</x:v>
      </x:c>
      <x:c r="B8" s="73" t="n">
        <x:f>COUNTIF('验收用例'!H2:H84,"部分验证")+COUNTIF('V1.1图文整合'!G6:G17,"部分验证")</x:f>
        <x:v>0</x:v>
      </x:c>
      <x:c r="D8" s="133" t="n">
        <x:v>3</x:v>
      </x:c>
      <x:c r="E8" s="134" t="str">
        <x:v>本工作簿</x:v>
      </x:c>
      <x:c r="F8" s="135" t="str">
        <x:v>记录V1与V1.1结果、证据、缺陷和交付状态</x:v>
      </x:c>
    </x:row>
    <x:row r="9" ht="28" customHeight="1">
      <x:c r="A9" s="72" t="str">
        <x:v>失败</x:v>
      </x:c>
      <x:c r="B9" s="73" t="n">
        <x:f>COUNTIF('验收用例'!H2:H84,"失败")+COUNTIF('V1.1图文整合'!G6:G17,"失败")</x:f>
        <x:v>0</x:v>
      </x:c>
      <x:c r="D9" s="136"/>
      <x:c r="E9" s="137"/>
      <x:c r="F9" s="138"/>
    </x:row>
    <x:row r="10" ht="28" customHeight="1">
      <x:c r="A10" s="72" t="str">
        <x:v>阻塞</x:v>
      </x:c>
      <x:c r="B10" s="73" t="n">
        <x:f>COUNTIF('验收用例'!H2:H84,"阻塞")+COUNTIF('V1.1图文整合'!G6:G17,"阻塞")</x:f>
        <x:v>0</x:v>
      </x:c>
    </x:row>
    <x:row r="11" ht="28" customHeight="1">
      <x:c r="A11" s="72" t="str">
        <x:v>待执行</x:v>
      </x:c>
      <x:c r="B11" s="73" t="n">
        <x:f>COUNTIF('验收用例'!H2:H84,"待执行")+COUNTIF('V1.1图文整合'!G6:G17,"待执行")</x:f>
        <x:v>0</x:v>
      </x:c>
      <x:c r="D11" s="54" t="str">
        <x:v>阶段</x:v>
      </x:c>
      <x:c r="E11" s="54" t="str">
        <x:v>状态</x:v>
      </x:c>
      <x:c r="F11" s="54" t="str">
        <x:v>进入条件</x:v>
      </x:c>
    </x:row>
    <x:row r="12" ht="28" customHeight="1">
      <x:c r="A12" s="72" t="str">
        <x:v>不适用</x:v>
      </x:c>
      <x:c r="B12" s="73" t="n">
        <x:f>COUNTIF('验收用例'!H2:H84,"不适用")+COUNTIF('V1.1图文整合'!G6:G17,"不适用")</x:f>
        <x:v>1</x:v>
      </x:c>
      <x:c r="D12" s="130" t="str">
        <x:v>A 文档与V1基线</x:v>
      </x:c>
      <x:c r="E12" s="148" t="str">
        <x:v>已完成</x:v>
      </x:c>
      <x:c r="F12" s="132" t="str">
        <x:v>需求、合并计划与83项V1结果一致</x:v>
      </x:c>
    </x:row>
    <x:row r="13" ht="28" customHeight="1">
      <x:c r="A13" s="194" t="str">
        <x:v>最终判定</x:v>
      </x:c>
      <x:c r="B13" s="194" t="str">
        <x:f>IF(AND(B8=0,B9=0,B10=0,B11=0),"满足用例状态条件","未满足")</x:f>
        <x:v>满足用例状态条件</x:v>
      </x:c>
      <x:c r="D13" s="133" t="str">
        <x:v>B 9B视觉配置</x:v>
      </x:c>
      <x:c r="E13" s="149" t="str">
        <x:v>已完成</x:v>
      </x:c>
      <x:c r="F13" s="135" t="str">
        <x:v>模型与投影文件哈希通过，仅一个9B驻留</x:v>
      </x:c>
    </x:row>
    <x:row r="14" ht="28" customHeight="1">
      <x:c r="D14" s="133" t="str">
        <x:v>C 图片最小验证</x:v>
      </x:c>
      <x:c r="E14" s="149" t="str">
        <x:v>已完成</x:v>
      </x:c>
      <x:c r="F14" s="135" t="str">
        <x:v>合成科研记录及图表识别结果对照通过</x:v>
      </x:c>
    </x:row>
    <x:row r="15" ht="28" customHeight="1">
      <x:c r="D15" s="133" t="str">
        <x:v>D 图文报告与Word</x:v>
      </x:c>
      <x:c r="E15" s="149" t="str">
        <x:v>已完成</x:v>
      </x:c>
      <x:c r="F15" s="135" t="str">
        <x:v>图文整合、敏感词、v2和含图DOCX通过</x:v>
      </x:c>
    </x:row>
    <x:row r="16" ht="28" customHeight="1">
      <x:c r="D16" s="133" t="str">
        <x:v>E Chrome与恢复</x:v>
      </x:c>
      <x:c r="E16" s="149" t="str">
        <x:v>已完成</x:v>
      </x:c>
      <x:c r="F16" s="135" t="str">
        <x:v>真实Chrome、全量回归、备份和独立恢复通过</x:v>
      </x:c>
    </x:row>
    <x:row r="17" ht="28" customHeight="1">
      <x:c r="D17" s="136" t="str">
        <x:v>F 当前Mac交付</x:v>
      </x:c>
      <x:c r="E17" s="150" t="str">
        <x:v>已完成</x:v>
      </x:c>
      <x:c r="F17" s="138" t="str">
        <x:v>V1适用82项及V1.1新增12项全部通过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20" hidden="0" customWidth="1"/>
    <x:col min="5" max="5" width="44" hidden="0" customWidth="1"/>
    <x:col min="6" max="6" width="24" hidden="0" customWidth="1"/>
  </x:cols>
  <x:sheetData>
    <x:row r="2">
      <x:c r="A2" s="44" t="str">
        <x:v>需求、执行与验收承接关系</x:v>
      </x:c>
      <x:c r="B2" s="44"/>
      <x:c r="C2" s="44"/>
      <x:c r="D2" s="44"/>
      <x:c r="E2" s="44"/>
      <x:c r="F2" s="44"/>
    </x:row>
    <x:row r="3">
      <x:c r="A3" s="48"/>
      <x:c r="B3" s="48"/>
      <x:c r="C3" s="48"/>
      <x:c r="D3" s="48"/>
      <x:c r="E3" s="48"/>
      <x:c r="F3" s="48"/>
    </x:row>
    <x:row r="5" ht="40" customHeight="1">
      <x:c r="A5" s="54" t="str">
        <x:v>需求顺序</x:v>
      </x:c>
      <x:c r="B5" s="54" t="str">
        <x:v>需求范围</x:v>
      </x:c>
      <x:c r="C5" s="54" t="str">
        <x:v>实施工作包</x:v>
      </x:c>
      <x:c r="D5" s="54" t="str">
        <x:v>测试组</x:v>
      </x:c>
      <x:c r="E5" s="54" t="str">
        <x:v>最终证据</x:v>
      </x:c>
      <x:c r="F5" s="54" t="str">
        <x:v>当前状态</x:v>
      </x:c>
    </x:row>
    <x:row r="6" ht="40" customHeight="1">
      <x:c r="A6" s="130" t="n">
        <x:v>1</x:v>
      </x:c>
      <x:c r="B6" s="131" t="str">
        <x:v>登录首界面、管理员和业务基础</x:v>
      </x:c>
      <x:c r="C6" s="131" t="str">
        <x:v>B</x:v>
      </x:c>
      <x:c r="D6" s="131" t="str">
        <x:v>EN、QA</x:v>
      </x:c>
      <x:c r="E6" s="131" t="str">
        <x:v>登录、权限、回读及安全证据</x:v>
      </x:c>
      <x:c r="F6" s="154" t="str">
        <x:v>admin/admin及既有业务入口实测通过</x:v>
      </x:c>
    </x:row>
    <x:row r="7" ht="40" customHeight="1">
      <x:c r="A7" s="133" t="n">
        <x:v>2</x:v>
      </x:c>
      <x:c r="B7" s="134" t="str">
        <x:v>文件和科研主线</x:v>
      </x:c>
      <x:c r="C7" s="134" t="str">
        <x:v>B、E</x:v>
      </x:c>
      <x:c r="D7" s="134" t="str">
        <x:v>FL、WF</x:v>
      </x:c>
      <x:c r="E7" s="134" t="str">
        <x:v>完整主线、文件hash、持久化和下载证据</x:v>
      </x:c>
      <x:c r="F7" s="155" t="str">
        <x:v>真实科研主线、通用采购DOCX及文件闭环通过</x:v>
      </x:c>
    </x:row>
    <x:row r="8" ht="40" customHeight="1">
      <x:c r="A8" s="133" t="n">
        <x:v>3</x:v>
      </x:c>
      <x:c r="B8" s="134" t="str">
        <x:v>固定词库与报告版本</x:v>
      </x:c>
      <x:c r="C8" s="134" t="str">
        <x:v>B、D</x:v>
      </x:c>
      <x:c r="D8" s="134" t="str">
        <x:v>KW、AI、V11</x:v>
      </x:c>
      <x:c r="E8" s="134" t="str">
        <x:v>词库版本、来源快照、报告历史和导出证据</x:v>
      </x:c>
      <x:c r="F8" s="155" t="str">
        <x:v>确定性代称、来源快照、v1/v2及DOCX实测通过</x:v>
      </x:c>
    </x:row>
    <x:row r="9" ht="40" customHeight="1">
      <x:c r="A9" s="133" t="n">
        <x:v>4</x:v>
      </x:c>
      <x:c r="B9" s="134" t="str">
        <x:v>9B有限AI与视觉能力</x:v>
      </x:c>
      <x:c r="C9" s="134" t="str">
        <x:v>B、C、D</x:v>
      </x:c>
      <x:c r="D9" s="134" t="str">
        <x:v>SE、AI、MC、V11</x:v>
      </x:c>
      <x:c r="E9" s="134" t="str">
        <x:v>单模型身份、视觉提取、图文整合和人工确认</x:v>
      </x:c>
      <x:c r="F9" s="155" t="str">
        <x:v>Qwen3.5-9B只用于提案、报告、框选及图片提取</x:v>
      </x:c>
    </x:row>
    <x:row r="10" ht="40" customHeight="1">
      <x:c r="A10" s="133" t="n">
        <x:v>5</x:v>
      </x:c>
      <x:c r="B10" s="134" t="str">
        <x:v>本地真实验证与问题修复</x:v>
      </x:c>
      <x:c r="C10" s="134" t="str">
        <x:v>E</x:v>
      </x:c>
      <x:c r="D10" s="134" t="str">
        <x:v>V1共83项、V1.1共12项</x:v>
      </x:c>
      <x:c r="E10" s="134" t="str">
        <x:v>逐项结果、真实Chrome、回归和Word视觉检查</x:v>
      </x:c>
      <x:c r="F10" s="155" t="str">
        <x:v>V1适用82项及V1.1新增12项全部通过</x:v>
      </x:c>
    </x:row>
    <x:row r="11" ht="40" customHeight="1">
      <x:c r="A11" s="136" t="n">
        <x:v>6</x:v>
      </x:c>
      <x:c r="B11" s="137" t="str">
        <x:v>当前Mac可运行交付</x:v>
      </x:c>
      <x:c r="C11" s="137" t="str">
        <x:v>F</x:v>
      </x:c>
      <x:c r="D11" s="137" t="str">
        <x:v>QA、V11</x:v>
      </x:c>
      <x:c r="E11" s="137" t="str">
        <x:v>固定端口、备份恢复、说明和交付清单</x:v>
      </x:c>
      <x:c r="F11" s="156" t="str">
        <x:v>8893/18081/58562正常，当前数据独立恢复一致</x:v>
      </x:c>
    </x:row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55" hidden="0" customWidth="1"/>
    <x:col min="4" max="4" width="32" hidden="0" customWidth="1"/>
    <x:col min="5" max="5" width="16" hidden="0" customWidth="1"/>
  </x:cols>
  <x:sheetData>
    <x:row r="2">
      <x:c r="A2" s="44" t="str">
        <x:v>最终交付清单</x:v>
      </x:c>
      <x:c r="B2" s="44"/>
      <x:c r="C2" s="44"/>
      <x:c r="D2" s="44"/>
      <x:c r="E2" s="44"/>
    </x:row>
    <x:row r="3">
      <x:c r="A3" s="48"/>
      <x:c r="B3" s="48"/>
      <x:c r="C3" s="48"/>
      <x:c r="D3" s="48"/>
      <x:c r="E3" s="48"/>
    </x:row>
    <x:row r="5" ht="42" customHeight="1">
      <x:c r="A5" s="54" t="str">
        <x:v>编号</x:v>
      </x:c>
      <x:c r="B5" s="54" t="str">
        <x:v>交付物</x:v>
      </x:c>
      <x:c r="C5" s="54" t="str">
        <x:v>完成标准</x:v>
      </x:c>
      <x:c r="D5" s="54" t="str">
        <x:v>证据位置</x:v>
      </x:c>
      <x:c r="E5" s="54" t="str">
        <x:v>当前状态</x:v>
      </x:c>
    </x:row>
    <x:row r="6" ht="72" customHeight="1">
      <x:c r="A6" s="130" t="str">
        <x:v>D-01</x:v>
      </x:c>
      <x:c r="B6" s="131" t="str">
        <x:v>当前Mac可运行系统</x:v>
      </x:c>
      <x:c r="C6" s="131" t="str">
        <x:v>admin/admin登录、六入口和非AI业务可用；固定端口健康</x:v>
      </x:c>
      <x:c r="D6" s="131" t="str">
        <x:v>evidence/real-chrome/real-chrome-result.json; runtime/app-state.json</x:v>
      </x:c>
      <x:c r="E6" s="132" t="str">
        <x:v>已完成</x:v>
      </x:c>
    </x:row>
    <x:row r="7" ht="72" customHeight="1">
      <x:c r="A7" s="133" t="str">
        <x:v>D-02</x:v>
      </x:c>
      <x:c r="B7" s="134" t="str">
        <x:v>本地9B图文模型配置</x:v>
      </x:c>
      <x:c r="C7" s="134" t="str">
        <x:v>仅Qwen3.5-9B Q8驻留；文本和图片身份、投影文件、内存与绿灯一致</x:v>
      </x:c>
      <x:c r="D7" s="134" t="str">
        <x:v>runtime/model-state.json; evidence/multimodal/01-request-metadata.json</x:v>
      </x:c>
      <x:c r="E7" s="135" t="str">
        <x:v>已完成</x:v>
      </x:c>
    </x:row>
    <x:row r="8" ht="72" customHeight="1">
      <x:c r="A8" s="133" t="str">
        <x:v>D-03</x:v>
      </x:c>
      <x:c r="B8" s="134" t="str">
        <x:v>科研图文案例和来源</x:v>
      </x:c>
      <x:c r="C8" s="134" t="str">
        <x:v>两张合成科研图片和一份文本上传；来源版本、hash和模型提取可追溯</x:v>
      </x:c>
      <x:c r="D8" s="134" t="str">
        <x:v>evidence/multimodal/02-upload-result.json; evidence/multimodal/03-report-generation.json</x:v>
      </x:c>
      <x:c r="E8" s="135" t="str">
        <x:v>已完成</x:v>
      </x:c>
    </x:row>
    <x:row r="9" ht="72" customHeight="1">
      <x:c r="A9" s="133" t="str">
        <x:v>D-04</x:v>
      </x:c>
      <x:c r="B9" s="134" t="str">
        <x:v>报告版本与敏感内容处理</x:v>
      </x:c>
      <x:c r="C9" s="134" t="str">
        <x:v>图文资料生成v2；代称正确；敏感原图不进入报告；旧版保留</x:v>
      </x:c>
      <x:c r="D9" s="134" t="str">
        <x:v>evidence/multimodal/04-end-to-end-result.json</x:v>
      </x:c>
      <x:c r="E9" s="135" t="str">
        <x:v>已完成</x:v>
      </x:c>
    </x:row>
    <x:row r="10" ht="88" customHeight="1">
      <x:c r="A10" s="133" t="str">
        <x:v>D-05</x:v>
      </x:c>
      <x:c r="B10" s="134" t="str">
        <x:v>可打开的含图Word报告</x:v>
      </x:c>
      <x:c r="C10" s="134" t="str">
        <x:v>正文、版本号、来源、代称和清洁图片正确；四页视觉检查通过；Chrome实际下载</x:v>
      </x:c>
      <x:c r="D10" s="134" t="str">
        <x:v>evidence/multimodal/04-便携式野外试验环境数据采集终端阶段科研报告-v2.docx; evidence/real-chrome/04-chrome-downloaded-report-v2.docx</x:v>
      </x:c>
      <x:c r="E10" s="135" t="str">
        <x:v>已完成</x:v>
      </x:c>
    </x:row>
    <x:row r="11" ht="72" customHeight="1">
      <x:c r="A11" s="133" t="str">
        <x:v>D-06</x:v>
      </x:c>
      <x:c r="B11" s="134" t="str">
        <x:v>测试与缺陷闭环</x:v>
      </x:c>
      <x:c r="C11" s="134" t="str">
        <x:v>V1原83项保持；V1.1新增12项全部通过；Python、Chromium和控制器零失败</x:v>
      </x:c>
      <x:c r="D11" s="134" t="str">
        <x:v>验收用例; V1.1图文整合; evidence/regression/20260911-summary.json</x:v>
      </x:c>
      <x:c r="E11" s="135" t="str">
        <x:v>已完成</x:v>
      </x:c>
    </x:row>
    <x:row r="12" ht="88" customHeight="1">
      <x:c r="A12" s="136" t="str">
        <x:v>D-07</x:v>
      </x:c>
      <x:c r="B12" s="137" t="str">
        <x:v>备份恢复和使用说明</x:v>
      </x:c>
      <x:c r="C12" s="137" t="str">
        <x:v>最新数据备份、独立数据库和附件恢复对账通过；恢复后三端口健康</x:v>
      </x:c>
      <x:c r="D12" s="137" t="str">
        <x:v>runtime/backups/20260911-115319/manifest.json; build/local-offline-20260910/qa_restore_20260911_115333_d0dad7a4.json; runtime/现场启动与演示说明.md</x:v>
      </x:c>
      <x:c r="E12" s="138" t="str">
        <x:v>已完成</x:v>
      </x:c>
    </x:row>
  </x:sheetData>
  <x:mergeCells>
    <x:mergeCell ref="A2:E2"/>
  </x:mergeCells>
  <x:conditionalFormatting sqref="E6:E12">
    <x:cfRule type="containsText" dxfId="5" priority="1" operator="containsText" text="已完成"/>
    <x:cfRule type="containsText" dxfId="6" priority="2" operator="containsText" text="未完成"/>
    <x:cfRule type="containsText" dxfId="7" priority="3" operator="containsText" text="阻塞"/>
  </x:conditionalFormatting>
  <x:dataValidations count="1">
    <x:dataValidation type="list" sqref="E6:E12">
      <x:formula1>"未完成,执行中,已完成,阻塞,不适用"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25" hidden="0" customWidth="1"/>
    <x:col min="4" max="4" width="34" hidden="0" customWidth="1"/>
    <x:col min="5" max="5" width="36" hidden="0" customWidth="1"/>
    <x:col min="6" max="6" width="42" hidden="0" customWidth="1"/>
    <x:col min="7" max="7" width="10" hidden="0" customWidth="1"/>
    <x:col min="8" max="8" width="54" hidden="0" customWidth="1"/>
    <x:col min="9" max="9" width="13" hidden="0" customWidth="1"/>
    <x:col min="10" max="10" width="19" hidden="0" customWidth="1"/>
  </x:cols>
  <x:sheetData>
    <x:row r="2">
      <x:c r="A2" s="44" t="str">
        <x:v>V1.1 本地9B图文整合执行与验收</x:v>
      </x:c>
      <x:c r="B2" s="44"/>
      <x:c r="C2" s="44"/>
      <x:c r="D2" s="44"/>
      <x:c r="E2" s="44"/>
      <x:c r="F2" s="44"/>
      <x:c r="G2" s="44"/>
      <x:c r="H2" s="44"/>
      <x:c r="I2" s="44"/>
      <x:c r="J2" s="44"/>
    </x:row>
    <x:row r="3">
      <x:c r="A3" s="161" t="str">
        <x:v>合成科研资料；当前Mac；固定端口8893/18081/58562；执行与测试结果合并记录</x:v>
      </x:c>
      <x:c r="B3" s="161"/>
      <x:c r="C3" s="161"/>
      <x:c r="D3" s="161"/>
      <x:c r="E3" s="161"/>
      <x:c r="F3" s="161"/>
      <x:c r="G3" s="161"/>
      <x:c r="H3" s="161"/>
      <x:c r="I3" s="161"/>
      <x:c r="J3" s="161"/>
    </x:row>
    <x:row r="5" ht="30" customHeight="1">
      <x:c r="A5" s="195" t="str">
        <x:v>编号</x:v>
      </x:c>
      <x:c r="B5" s="195" t="str">
        <x:v>阶段</x:v>
      </x:c>
      <x:c r="C5" s="195" t="str">
        <x:v>测试项</x:v>
      </x:c>
      <x:c r="D5" s="195" t="str">
        <x:v>执行方法</x:v>
      </x:c>
      <x:c r="E5" s="195" t="str">
        <x:v>通过标准</x:v>
      </x:c>
      <x:c r="F5" s="195" t="str">
        <x:v>实际结果</x:v>
      </x:c>
      <x:c r="G5" s="195" t="str">
        <x:v>状态</x:v>
      </x:c>
      <x:c r="H5" s="195" t="str">
        <x:v>证据位置</x:v>
      </x:c>
      <x:c r="I5" s="195" t="str">
        <x:v>执行人</x:v>
      </x:c>
      <x:c r="J5" s="195" t="str">
        <x:v>执行时间</x:v>
      </x:c>
    </x:row>
    <x:row r="6" ht="58" customHeight="1">
      <x:c r="A6" s="170" t="str">
        <x:v>V11-01</x:v>
      </x:c>
      <x:c r="B6" s="170" t="str">
        <x:v>L1</x:v>
      </x:c>
      <x:c r="C6" s="170" t="str">
        <x:v>9B视觉投影文件与单模型身份</x:v>
      </x:c>
      <x:c r="D6" s="170" t="str">
        <x:v>核对模型、mmproj哈希、启动参数、进程和能力状态</x:v>
      </x:c>
      <x:c r="E6" s="170" t="str">
        <x:v>仅一个9B；模型与投影身份通过；18081不变</x:v>
      </x:c>
      <x:c r="F6" s="170" t="str">
        <x:v>Qwen3.5-9B Q8与mmproj-F16哈希通过；文本和图片能力就绪；单进程驻留</x:v>
      </x:c>
      <x:c r="G6" s="200" t="str">
        <x:v>通过</x:v>
      </x:c>
      <x:c r="H6" s="170" t="str">
        <x:v>runtime/model-state.json; evidence/multimodal/01-request-metadata.json</x:v>
      </x:c>
      <x:c r="I6" s="170" t="str">
        <x:v>主控实测</x:v>
      </x:c>
      <x:c r="J6" s="180" t="n">
        <x:v>46276.154861111114</x:v>
      </x:c>
    </x:row>
    <x:row r="7" ht="58" customHeight="1">
      <x:c r="A7" s="171" t="str">
        <x:v>V11-02</x:v>
      </x:c>
      <x:c r="B7" s="171" t="str">
        <x:v>L2</x:v>
      </x:c>
      <x:c r="C7" s="171" t="str">
        <x:v>科研试验记录图片提取</x:v>
      </x:c>
      <x:c r="D7" s="171" t="str">
        <x:v>用合成试验记录图片调用本地9B并对照金标准</x:v>
      </x:c>
      <x:c r="E7" s="171" t="str">
        <x:v>项目、单位、地点、设备、样本、异常、结论和阈值准确</x:v>
      </x:c>
      <x:c r="F7" s="171" t="str">
        <x:v>19.551秒完成；关键事实、数值、阈值及最高阶段全部匹配</x:v>
      </x:c>
      <x:c r="G7" s="201" t="str">
        <x:v>通过</x:v>
      </x:c>
      <x:c r="H7" s="171" t="str">
        <x:v>evidence/multimodal/01-model-response.json</x:v>
      </x:c>
      <x:c r="I7" s="171" t="str">
        <x:v>主控实测</x:v>
      </x:c>
      <x:c r="J7" s="181" t="n">
        <x:v>46276.154861111114</x:v>
      </x:c>
    </x:row>
    <x:row r="8" ht="58" customHeight="1">
      <x:c r="A8" s="171" t="str">
        <x:v>V11-03</x:v>
      </x:c>
      <x:c r="B8" s="171" t="str">
        <x:v>L2</x:v>
      </x:c>
      <x:c r="C8" s="171" t="str">
        <x:v>阶段性能图表提取</x:v>
      </x:c>
      <x:c r="D8" s="171" t="str">
        <x:v>上传合成柱状图，作为报告来源由9B提取</x:v>
      </x:c>
      <x:c r="E8" s="171" t="str">
        <x:v>72、81、89及80分验收线正确，不能补造</x:v>
      </x:c>
      <x:c r="F8" s="171" t="str">
        <x:v>阶段得分与验收线正确进入来源快照，未出现外部知识补写</x:v>
      </x:c>
      <x:c r="G8" s="201" t="str">
        <x:v>通过</x:v>
      </x:c>
      <x:c r="H8" s="171" t="str">
        <x:v>evidence/multimodal/03-report-generation.json</x:v>
      </x:c>
      <x:c r="I8" s="171" t="str">
        <x:v>主控实测</x:v>
      </x:c>
      <x:c r="J8" s="181" t="n">
        <x:v>46276.154861111114</x:v>
      </x:c>
    </x:row>
    <x:row r="9" ht="58" customHeight="1">
      <x:c r="A9" s="171" t="str">
        <x:v>V11-04</x:v>
      </x:c>
      <x:c r="B9" s="171" t="str">
        <x:v>L3</x:v>
      </x:c>
      <x:c r="C9" s="171" t="str">
        <x:v>两张图片与一份文本整合报告</x:v>
      </x:c>
      <x:c r="D9" s="171" t="str">
        <x:v>在真实项目选择三个来源生成独立草稿并核对来源</x:v>
      </x:c>
      <x:c r="E9" s="171" t="str">
        <x:v>正文事实一致，含S1/S2/S3引用，人工保存前不改报告</x:v>
      </x:c>
      <x:c r="F9" s="171" t="str">
        <x:v>93.178秒生成；三类来源共同形成报告，S1/S2/S3均出现</x:v>
      </x:c>
      <x:c r="G9" s="201" t="str">
        <x:v>通过</x:v>
      </x:c>
      <x:c r="H9" s="171" t="str">
        <x:v>evidence/multimodal/03-report-generation.json; evidence/multimodal/03-generated-draft.txt</x:v>
      </x:c>
      <x:c r="I9" s="171" t="str">
        <x:v>主控实测</x:v>
      </x:c>
      <x:c r="J9" s="181" t="n">
        <x:v>46276.154861111114</x:v>
      </x:c>
    </x:row>
    <x:row r="10" ht="58" customHeight="1">
      <x:c r="A10" s="171" t="str">
        <x:v>V11-05</x:v>
      </x:c>
      <x:c r="B10" s="171" t="str">
        <x:v>L3</x:v>
      </x:c>
      <x:c r="C10" s="171" t="str">
        <x:v>敏感词确定性替换</x:v>
      </x:c>
      <x:c r="D10" s="171" t="str">
        <x:v>对草稿和来源快照检查五个原词及六个代称</x:v>
      </x:c>
      <x:c r="E10" s="171" t="str">
        <x:v>原词不进入正文；PRJ-B、QL、[UNIT-A]、[SITE-B]、DEV-03、※按词库替换</x:v>
      </x:c>
      <x:c r="F10" s="171" t="str">
        <x:v>五个原词均未出现在报告正文；代称在正文或来源快照中可追溯</x:v>
      </x:c>
      <x:c r="G10" s="201" t="str">
        <x:v>通过</x:v>
      </x:c>
      <x:c r="H10" s="171" t="str">
        <x:v>evidence/multimodal/04-end-to-end-result.json</x:v>
      </x:c>
      <x:c r="I10" s="171" t="str">
        <x:v>主控实测</x:v>
      </x:c>
      <x:c r="J10" s="181" t="n">
        <x:v>46276.154861111114</x:v>
      </x:c>
    </x:row>
    <x:row r="11" ht="58" customHeight="1">
      <x:c r="A11" s="171" t="str">
        <x:v>V11-06</x:v>
      </x:c>
      <x:c r="B11" s="171" t="str">
        <x:v>L3</x:v>
      </x:c>
      <x:c r="C11" s="171" t="str">
        <x:v>命中敏感词的原图阻断</x:v>
      </x:c>
      <x:c r="D11" s="171" t="str">
        <x:v>检查页面来源展示及DOCX媒体清单</x:v>
      </x:c>
      <x:c r="E11" s="171" t="str">
        <x:v>敏感原图不显示、不嵌入；只保留脱敏提取摘要</x:v>
      </x:c>
      <x:c r="F11" s="171" t="str">
        <x:v>试验记录原图被阻断；页面和Word只保留脱敏摘要</x:v>
      </x:c>
      <x:c r="G11" s="201" t="str">
        <x:v>通过</x:v>
      </x:c>
      <x:c r="H11" s="171" t="str">
        <x:v>evidence/multimodal/04-end-to-end-result.json; evidence/multimodal/04-docx-paragraphs.txt</x:v>
      </x:c>
      <x:c r="I11" s="171" t="str">
        <x:v>主控实测</x:v>
      </x:c>
      <x:c r="J11" s="181" t="n">
        <x:v>46276.154861111114</x:v>
      </x:c>
    </x:row>
    <x:row r="12" ht="58" customHeight="1">
      <x:c r="A12" s="171" t="str">
        <x:v>V11-07</x:v>
      </x:c>
      <x:c r="B12" s="171" t="str">
        <x:v>L3</x:v>
      </x:c>
      <x:c r="C12" s="171" t="str">
        <x:v>清洁图片嵌入Word</x:v>
      </x:c>
      <x:c r="D12" s="171" t="str">
        <x:v>按文件ID、版本和hash导出v2并检查媒体及图题</x:v>
      </x:c>
      <x:c r="E12" s="171" t="str">
        <x:v>未命中敏感词的性能图写入Word，图题和来源匹配</x:v>
      </x:c>
      <x:c r="F12" s="171" t="str">
        <x:v>阶段性能图已嵌入第三页，图片和来源版本绑定</x:v>
      </x:c>
      <x:c r="G12" s="201" t="str">
        <x:v>通过</x:v>
      </x:c>
      <x:c r="H12" s="171" t="str">
        <x:v>evidence/multimodal/04-便携式野外试验环境数据采集终端阶段科研报告-v2.docx</x:v>
      </x:c>
      <x:c r="I12" s="171" t="str">
        <x:v>主控实测</x:v>
      </x:c>
      <x:c r="J12" s="181" t="n">
        <x:v>46276.154861111114</x:v>
      </x:c>
    </x:row>
    <x:row r="13" ht="58" customHeight="1">
      <x:c r="A13" s="171" t="str">
        <x:v>V11-08</x:v>
      </x:c>
      <x:c r="B13" s="171" t="str">
        <x:v>L3</x:v>
      </x:c>
      <x:c r="C13" s="171" t="str">
        <x:v>报告v2保存与历史回读</x:v>
      </x:c>
      <x:c r="D13" s="171" t="str">
        <x:v>保存说明后刷新报告并查看v1、v2</x:v>
      </x:c>
      <x:c r="E13" s="171" t="str">
        <x:v>v2存在且旧v1不覆盖；作者、时间和说明可见</x:v>
      </x:c>
      <x:c r="F13" s="171" t="str">
        <x:v>v2保存成功，说明为本地9B图文整合核对通过；v1/v2均可查看</x:v>
      </x:c>
      <x:c r="G13" s="201" t="str">
        <x:v>通过</x:v>
      </x:c>
      <x:c r="H13" s="171" t="str">
        <x:v>evidence/multimodal/04-end-to-end-result.json; evidence/real-chrome/real-chrome-result.json</x:v>
      </x:c>
      <x:c r="I13" s="171" t="str">
        <x:v>主控实测</x:v>
      </x:c>
      <x:c r="J13" s="181" t="n">
        <x:v>46276.154861111114</x:v>
      </x:c>
    </x:row>
    <x:row r="14" ht="58" customHeight="1">
      <x:c r="A14" s="171" t="str">
        <x:v>V11-09</x:v>
      </x:c>
      <x:c r="B14" s="171" t="str">
        <x:v>L3</x:v>
      </x:c>
      <x:c r="C14" s="171" t="str">
        <x:v>含图DOCX四页视觉检查</x:v>
      </x:c>
      <x:c r="D14" s="171" t="str">
        <x:v>渲染Word并逐页检查标题、正文、图片、来源和分页</x:v>
      </x:c>
      <x:c r="E14" s="171" t="str">
        <x:v>无乱码、遮挡、截断、缺字或错误图片；内容可读</x:v>
      </x:c>
      <x:c r="F14" s="171" t="str">
        <x:v>四页全部逐页通过；标题为黑色，无多余横线；图表清晰</x:v>
      </x:c>
      <x:c r="G14" s="201" t="str">
        <x:v>通过</x:v>
      </x:c>
      <x:c r="H14" s="171" t="str">
        <x:v>evidence/multimodal/rendered-report-v4/page-1.png 至 page-4.png</x:v>
      </x:c>
      <x:c r="I14" s="171" t="str">
        <x:v>主控复核</x:v>
      </x:c>
      <x:c r="J14" s="181" t="n">
        <x:v>46276.154861111114</x:v>
      </x:c>
    </x:row>
    <x:row r="15" ht="58" customHeight="1">
      <x:c r="A15" s="171" t="str">
        <x:v>V11-10</x:v>
      </x:c>
      <x:c r="B15" s="171" t="str">
        <x:v>L4</x:v>
      </x:c>
      <x:c r="C15" s="171" t="str">
        <x:v>系统Google Chrome完整链路</x:v>
      </x:c>
      <x:c r="D15" s="171" t="str">
        <x:v>有界面Google Chrome登录、看绿灯、看v2、下载DOCX</x:v>
      </x:c>
      <x:c r="E15" s="171" t="str">
        <x:v>admin/admin登录；9B绿灯；代称正确；原词不出现；下载落盘</x:v>
      </x:c>
      <x:c r="F15" s="171" t="str">
        <x:v>全部检查通过；Chrome实际下载DOCX 62927字节</x:v>
      </x:c>
      <x:c r="G15" s="201" t="str">
        <x:v>通过</x:v>
      </x:c>
      <x:c r="H15" s="171" t="str">
        <x:v>evidence/real-chrome/real-chrome-result.json; evidence/real-chrome/04-chrome-downloaded-report-v2.docx</x:v>
      </x:c>
      <x:c r="I15" s="171" t="str">
        <x:v>主控实测</x:v>
      </x:c>
      <x:c r="J15" s="181" t="n">
        <x:v>46276.154861111114</x:v>
      </x:c>
    </x:row>
    <x:row r="16" ht="58" customHeight="1">
      <x:c r="A16" s="171" t="str">
        <x:v>V11-11</x:v>
      </x:c>
      <x:c r="B16" s="171" t="str">
        <x:v>L4</x:v>
      </x:c>
      <x:c r="C16" s="171" t="str">
        <x:v>全量自动化回归</x:v>
      </x:c>
      <x:c r="D16" s="171" t="str">
        <x:v>运行Python、Chromium及模型控制器测试</x:v>
      </x:c>
      <x:c r="E16" s="171" t="str">
        <x:v>新增功能和既有功能零失败</x:v>
      </x:c>
      <x:c r="F16" s="171" t="str">
        <x:v>Python 1233通过/179跳过；Chromium 6通过；控制器20通过；零失败</x:v>
      </x:c>
      <x:c r="G16" s="201" t="str">
        <x:v>通过</x:v>
      </x:c>
      <x:c r="H16" s="171" t="str">
        <x:v>evidence/regression/20260911-summary.json</x:v>
      </x:c>
      <x:c r="I16" s="171" t="str">
        <x:v>自动回归</x:v>
      </x:c>
      <x:c r="J16" s="181" t="n">
        <x:v>46276.154861111114</x:v>
      </x:c>
    </x:row>
    <x:row r="17" ht="58" customHeight="1">
      <x:c r="A17" s="171" t="str">
        <x:v>V11-12</x:v>
      </x:c>
      <x:c r="B17" s="171" t="str">
        <x:v>L4</x:v>
      </x:c>
      <x:c r="C17" s="171" t="str">
        <x:v>备份与独立恢复</x:v>
      </x:c>
      <x:c r="D17" s="171" t="str">
        <x:v>备份数据库与附件，恢复到新库和新目录后做指纹对账</x:v>
      </x:c>
      <x:c r="E17" s="171" t="str">
        <x:v>数据库与附件完全一致；源数据不变；恢复后三端口健康</x:v>
      </x:c>
      <x:c r="F17" s="171" t="str">
        <x:v>database_match=true，files_match=true；8893/18081/58562正常</x:v>
      </x:c>
      <x:c r="G17" s="201" t="str">
        <x:v>通过</x:v>
      </x:c>
      <x:c r="H17" s="171" t="str">
        <x:v>runtime/backups/20260911-115319/manifest.json; build/local-offline-20260910/qa_restore_20260911_115333_d0dad7a4.json</x:v>
      </x:c>
      <x:c r="I17" s="171" t="str">
        <x:v>主控实测</x:v>
      </x:c>
      <x:c r="J17" s="181" t="n">
        <x:v>46276.154861111114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6591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27" hidden="0" customWidth="1"/>
    <x:col min="4" max="4" width="14" hidden="0" customWidth="1"/>
    <x:col min="5" max="5" width="48" hidden="0" customWidth="1"/>
    <x:col min="6" max="6" width="39" hidden="0" customWidth="1"/>
    <x:col min="7" max="7" width="45" hidden="0" customWidth="1"/>
  </x:cols>
  <x:sheetData>
    <x:row r="1" ht="30" customHeight="1">
      <x:c r="A1" s="203" t="str">
        <x:v>科研管理系统现场演示前遗留问题复核</x:v>
      </x:c>
      <x:c r="B1" s="203"/>
      <x:c r="C1" s="203"/>
      <x:c r="D1" s="203"/>
      <x:c r="E1" s="203"/>
      <x:c r="F1" s="203"/>
      <x:c r="G1" s="203"/>
    </x:row>
    <x:row r="2" ht="24" customHeight="1">
      <x:c r="A2" s="205" t="str">
        <x:v>复核时间：2026-09-11 14:30；结论：现场演示可用，正式源码交付尚未冻结</x:v>
      </x:c>
      <x:c r="B2" s="205"/>
      <x:c r="C2" s="205"/>
      <x:c r="D2" s="205"/>
      <x:c r="E2" s="205"/>
      <x:c r="F2" s="205"/>
      <x:c r="G2" s="205"/>
    </x:row>
    <x:row r="4" ht="30" customHeight="1">
      <x:c r="A4" s="210" t="str">
        <x:v>编号</x:v>
      </x:c>
      <x:c r="B4" s="210" t="str">
        <x:v>分类</x:v>
      </x:c>
      <x:c r="C4" s="210" t="str">
        <x:v>核对项</x:v>
      </x:c>
      <x:c r="D4" s="210" t="str">
        <x:v>状态</x:v>
      </x:c>
      <x:c r="E4" s="210" t="str">
        <x:v>复核结果</x:v>
      </x:c>
      <x:c r="F4" s="210" t="str">
        <x:v>证据或定位</x:v>
      </x:c>
      <x:c r="G4" s="210" t="str">
        <x:v>遗留问题与下一步</x:v>
      </x:c>
    </x:row>
    <x:row r="5" ht="56" customHeight="1">
      <x:c r="A5" s="211" t="str">
        <x:v>R-01</x:v>
      </x:c>
      <x:c r="B5" s="211" t="str">
        <x:v>运行</x:v>
      </x:c>
      <x:c r="C5" s="211" t="str">
        <x:v>固定端口与服务健康</x:v>
      </x:c>
      <x:c r="D5" s="219" t="str">
        <x:v>☑ 已完成</x:v>
      </x:c>
      <x:c r="E5" s="211" t="str">
        <x:v>应用8893、模型18081、数据库58562均正常</x:v>
      </x:c>
      <x:c r="F5" s="211" t="str">
        <x:v>offline_runtime.py check；/healthz</x:v>
      </x:c>
      <x:c r="G5" s="211" t="str">
        <x:v>保持现有端口，不再切换</x:v>
      </x:c>
    </x:row>
    <x:row r="6" ht="56" customHeight="1">
      <x:c r="A6" s="212" t="str">
        <x:v>R-02</x:v>
      </x:c>
      <x:c r="B6" s="212" t="str">
        <x:v>登录</x:v>
      </x:c>
      <x:c r="C6" s="212" t="str">
        <x:v>admin入口与登录首界面</x:v>
      </x:c>
      <x:c r="D6" s="220" t="str">
        <x:v>☑ 已完成</x:v>
      </x:c>
      <x:c r="E6" s="212" t="str">
        <x:v>登录页可达，admin可进入工作台，错误登录和权限边界已有验收</x:v>
      </x:c>
      <x:c r="F6" s="212" t="str">
        <x:v>EN-01至EN-05；真实Chrome证据</x:v>
      </x:c>
      <x:c r="G6" s="212" t="str">
        <x:v>无</x:v>
      </x:c>
    </x:row>
    <x:row r="7" ht="56" customHeight="1">
      <x:c r="A7" s="212" t="str">
        <x:v>R-03</x:v>
      </x:c>
      <x:c r="B7" s="212" t="str">
        <x:v>汇报页</x:v>
      </x:c>
      <x:c r="C7" s="212" t="str">
        <x:v>七项目录与桌面显示</x:v>
      </x:c>
      <x:c r="D7" s="220" t="str">
        <x:v>☑ 已完成</x:v>
      </x:c>
      <x:c r="E7" s="212" t="str">
        <x:v>系统总览、执行流程、系统功能、数据流程、本地AI、系统架构、交付结果均可切换</x:v>
      </x:c>
      <x:c r="F7" s="212" t="str">
        <x:v>/system-intro；固定8893端口Playwright 1通过</x:v>
      </x:c>
      <x:c r="G7" s="212" t="str">
        <x:v>无</x:v>
      </x:c>
    </x:row>
    <x:row r="8" ht="56" customHeight="1">
      <x:c r="A8" s="212" t="str">
        <x:v>R-04</x:v>
      </x:c>
      <x:c r="B8" s="212" t="str">
        <x:v>数据流程</x:v>
      </x:c>
      <x:c r="C8" s="212" t="str">
        <x:v>文档来龙去脉与操作说明</x:v>
      </x:c>
      <x:c r="D8" s="220" t="str">
        <x:v>☑ 已完成</x:v>
      </x:c>
      <x:c r="E8" s="212" t="str">
        <x:v>资料来源、入库关联、插入编辑合并删除、版本输出四类已说明</x:v>
      </x:c>
      <x:c r="F8" s="212" t="str">
        <x:v>系统介绍页 数据流程</x:v>
      </x:c>
      <x:c r="G8" s="212" t="str">
        <x:v>无</x:v>
      </x:c>
    </x:row>
    <x:row r="9" ht="56" customHeight="1">
      <x:c r="A9" s="212" t="str">
        <x:v>R-05</x:v>
      </x:c>
      <x:c r="B9" s="212" t="str">
        <x:v>本地模型</x:v>
      </x:c>
      <x:c r="C9" s="212" t="str">
        <x:v>生成模型身份与2B清理</x:v>
      </x:c>
      <x:c r="D9" s="220" t="str">
        <x:v>☑ 已完成</x:v>
      </x:c>
      <x:c r="E9" s="212" t="str">
        <x:v>生成模型仅Qwen3.5-9B Q8_0；2B文件为0；模型接口只返回9B</x:v>
      </x:c>
      <x:c r="F9" s="212" t="str">
        <x:v>runtime/model-state.json；/v1/models</x:v>
      </x:c>
      <x:c r="G9" s="212" t="str">
        <x:v>BGE-M3为独立向量嵌入服务，不属于2B/9B生成模型切换</x:v>
      </x:c>
    </x:row>
    <x:row r="10" ht="56" customHeight="1">
      <x:c r="A10" s="212" t="str">
        <x:v>R-06</x:v>
      </x:c>
      <x:c r="B10" s="212" t="str">
        <x:v>本地模型</x:v>
      </x:c>
      <x:c r="C10" s="212" t="str">
        <x:v>模型状态与单次文本推理</x:v>
      </x:c>
      <x:c r="D10" s="220" t="str">
        <x:v>☑ 已完成</x:v>
      </x:c>
      <x:c r="E10" s="212" t="str">
        <x:v>配置为已加载；现场复核返回“模型正常”，0.57秒完成</x:v>
      </x:c>
      <x:c r="F10" s="212" t="str">
        <x:v>18081 /v1/chat/completions</x:v>
      </x:c>
      <x:c r="G10" s="212" t="str">
        <x:v>无</x:v>
      </x:c>
    </x:row>
    <x:row r="11" ht="56" customHeight="1">
      <x:c r="A11" s="212" t="str">
        <x:v>R-07</x:v>
      </x:c>
      <x:c r="B11" s="212" t="str">
        <x:v>AI作用</x:v>
      </x:c>
      <x:c r="C11" s="212" t="str">
        <x:v>AI入口与职责边界</x:v>
      </x:c>
      <x:c r="D11" s="220" t="str">
        <x:v>☑ 已完成</x:v>
      </x:c>
      <x:c r="E11" s="212" t="str">
        <x:v>提案助手、图片提取、资料整合草稿、框选措辞建议均有AI标识；程序负责词库、版本和审计</x:v>
      </x:c>
      <x:c r="F11" s="212" t="str">
        <x:v>系统介绍页 本地AI；相关业务页面</x:v>
      </x:c>
      <x:c r="G11" s="212" t="str">
        <x:v>无</x:v>
      </x:c>
    </x:row>
    <x:row r="12" ht="56" customHeight="1">
      <x:c r="A12" s="212" t="str">
        <x:v>R-08</x:v>
      </x:c>
      <x:c r="B12" s="212" t="str">
        <x:v>AI作用</x:v>
      </x:c>
      <x:c r="C12" s="212" t="str">
        <x:v>真实多模态图文报告</x:v>
      </x:c>
      <x:c r="D12" s="220" t="str">
        <x:v>☑ 已完成</x:v>
      </x:c>
      <x:c r="E12" s="212" t="str">
        <x:v>两张图片加一份文本生成报告草稿，人工确认后形成v2并导出含图DOCX</x:v>
      </x:c>
      <x:c r="F12" s="212" t="str">
        <x:v>V11-02至V11-10；multimodal与real-chrome证据</x:v>
      </x:c>
      <x:c r="G12" s="212" t="str">
        <x:v>无</x:v>
      </x:c>
    </x:row>
    <x:row r="13" ht="56" customHeight="1">
      <x:c r="A13" s="212" t="str">
        <x:v>R-09</x:v>
      </x:c>
      <x:c r="B13" s="212" t="str">
        <x:v>敏感词</x:v>
      </x:c>
      <x:c r="C13" s="212" t="str">
        <x:v>词库维护与新增规则</x:v>
      </x:c>
      <x:c r="D13" s="220" t="str">
        <x:v>☑ 已完成</x:v>
      </x:c>
      <x:c r="E13" s="212" t="str">
        <x:v>当前v3；支持逐条编辑、启停、JSON导入、预览、保存新版本、历史查看及添加规则</x:v>
      </x:c>
      <x:c r="F13" s="212" t="str">
        <x:v>/admin/sensitive-terms；真实Chrome复核</x:v>
      </x:c>
      <x:c r="G13" s="212" t="str">
        <x:v>删除采用禁用并保留历史，避免破坏审计</x:v>
      </x:c>
    </x:row>
    <x:row r="14" ht="56" customHeight="1">
      <x:c r="A14" s="212" t="str">
        <x:v>R-10</x:v>
      </x:c>
      <x:c r="B14" s="212" t="str">
        <x:v>敏感词</x:v>
      </x:c>
      <x:c r="C14" s="212" t="str">
        <x:v>自动替换与人工框选建议</x:v>
      </x:c>
      <x:c r="D14" s="220" t="str">
        <x:v>☑ 已完成</x:v>
      </x:c>
      <x:c r="E14" s="212" t="str">
        <x:v>报告自动确定性替换；框选文字可获得候选并一键替换</x:v>
      </x:c>
      <x:c r="F14" s="212" t="str">
        <x:v>KW、AI、V11用例；选区交互10通过</x:v>
      </x:c>
      <x:c r="G14" s="212" t="str">
        <x:v>无</x:v>
      </x:c>
    </x:row>
    <x:row r="15" ht="56" customHeight="1">
      <x:c r="A15" s="212" t="str">
        <x:v>R-11</x:v>
      </x:c>
      <x:c r="B15" s="212" t="str">
        <x:v>文档</x:v>
      </x:c>
      <x:c r="C15" s="212" t="str">
        <x:v>上传、关联、编辑、合并、版本、下载</x:v>
      </x:c>
      <x:c r="D15" s="220" t="str">
        <x:v>☑ 已完成</x:v>
      </x:c>
      <x:c r="E15" s="212" t="str">
        <x:v>文档全流程由V1适用用例覆盖，报告版本和下载证据可回读</x:v>
      </x:c>
      <x:c r="F15" s="212" t="str">
        <x:v>FL、WF、AI、V11用例</x:v>
      </x:c>
      <x:c r="G15" s="212" t="str">
        <x:v>无</x:v>
      </x:c>
    </x:row>
    <x:row r="16" ht="56" customHeight="1">
      <x:c r="A16" s="212" t="str">
        <x:v>R-12</x:v>
      </x:c>
      <x:c r="B16" s="212" t="str">
        <x:v>文档</x:v>
      </x:c>
      <x:c r="C16" s="212" t="str">
        <x:v>Word报告与视觉检查</x:v>
      </x:c>
      <x:c r="D16" s="220" t="str">
        <x:v>☑ 已完成</x:v>
      </x:c>
      <x:c r="E16" s="212" t="str">
        <x:v>DOCX可打开，正文、版本、来源、代称和清洁图片正确，四页渲染通过</x:v>
      </x:c>
      <x:c r="F16" s="212" t="str">
        <x:v>D-05；V11-07、V11-09、V11-10</x:v>
      </x:c>
      <x:c r="G16" s="212" t="str">
        <x:v>无</x:v>
      </x:c>
    </x:row>
    <x:row r="17" ht="56" customHeight="1">
      <x:c r="A17" s="212" t="str">
        <x:v>R-13</x:v>
      </x:c>
      <x:c r="B17" s="212" t="str">
        <x:v>测试</x:v>
      </x:c>
      <x:c r="C17" s="212" t="str">
        <x:v>当前完整Python回归</x:v>
      </x:c>
      <x:c r="D17" s="220" t="str">
        <x:v>☑ 已完成</x:v>
      </x:c>
      <x:c r="E17" s="212" t="str">
        <x:v>1237通过、179跳过、0失败</x:v>
      </x:c>
      <x:c r="F17" s="212" t="str">
        <x:v>2026-09-11 14:22全量执行</x:v>
      </x:c>
      <x:c r="G17" s="212" t="str">
        <x:v>跳过项为平台或条件性用例，未伪装为通过</x:v>
      </x:c>
    </x:row>
    <x:row r="18" ht="56" customHeight="1">
      <x:c r="A18" s="212" t="str">
        <x:v>R-14</x:v>
      </x:c>
      <x:c r="B18" s="212" t="str">
        <x:v>测试</x:v>
      </x:c>
      <x:c r="C18" s="212" t="str">
        <x:v>验收表状态与证据可达</x:v>
      </x:c>
      <x:c r="D18" s="220" t="str">
        <x:v>☑ 已完成</x:v>
      </x:c>
      <x:c r="E18" s="212" t="str">
        <x:v>83项V1为82通过、1不适用；12项V1.1全通过；7项交付物完成；208个证据引用全部可定位</x:v>
      </x:c>
      <x:c r="F18" s="212" t="str">
        <x:v>本工作簿；路径复核脚本</x:v>
      </x:c>
      <x:c r="G18" s="212" t="str">
        <x:v>无</x:v>
      </x:c>
    </x:row>
    <x:row r="19" ht="56" customHeight="1">
      <x:c r="A19" s="212" t="str">
        <x:v>R-15</x:v>
      </x:c>
      <x:c r="B19" s="212" t="str">
        <x:v>安全</x:v>
      </x:c>
      <x:c r="C19" s="212" t="str">
        <x:v>本地离线与日志检查</x:v>
      </x:c>
      <x:c r="D19" s="220" t="str">
        <x:v>☑ 已完成</x:v>
      </x:c>
      <x:c r="E19" s="212" t="str">
        <x:v>应用与模型均绑定本机；模型启用offline；本轮应用日志未发现500或Traceback</x:v>
      </x:c>
      <x:c r="F19" s="212" t="str">
        <x:v>model-state.json；app.log</x:v>
      </x:c>
      <x:c r="G19" s="212" t="str">
        <x:v>无</x:v>
      </x:c>
    </x:row>
    <x:row r="20" ht="56" customHeight="1">
      <x:c r="A20" s="212" t="str">
        <x:v>R-16</x:v>
      </x:c>
      <x:c r="B20" s="212" t="str">
        <x:v>备份</x:v>
      </x:c>
      <x:c r="C20" s="212" t="str">
        <x:v>当前v3数据新备份</x:v>
      </x:c>
      <x:c r="D20" s="224" t="str">
        <x:v>△ 有条件</x:v>
      </x:c>
      <x:c r="E20" s="212" t="str">
        <x:v>14:23已生成数据库与文件备份，两个文件哈希一致</x:v>
      </x:c>
      <x:c r="F20" s="212" t="str">
        <x:v>runtime/backups/20260911-142347/manifest.json</x:v>
      </x:c>
      <x:c r="G20" s="212" t="str">
        <x:v>最新备份尚未做独立恢复演练；既有11:53备份已恢复对账</x:v>
      </x:c>
    </x:row>
    <x:row r="21" ht="56" customHeight="1">
      <x:c r="A21" s="212" t="str">
        <x:v>R-17</x:v>
      </x:c>
      <x:c r="B21" s="212" t="str">
        <x:v>记录</x:v>
      </x:c>
      <x:c r="C21" s="212" t="str">
        <x:v>QA文档与当前状态同步</x:v>
      </x:c>
      <x:c r="D21" s="220" t="str">
        <x:v>☑ 已完成</x:v>
      </x:c>
      <x:c r="E21" s="212" t="str">
        <x:v>词库v2已更正为v3；全量回归更新为1237；敏感词页面面包屑已更正</x:v>
      </x:c>
      <x:c r="F21" s="212" t="str">
        <x:v>docs/qa与docs/release；真实Chrome复核</x:v>
      </x:c>
      <x:c r="G21" s="212" t="str">
        <x:v>Excel历史测试行继续保留其当时证据，不倒改历史结果</x:v>
      </x:c>
    </x:row>
    <x:row r="22" ht="56" customHeight="1">
      <x:c r="A22" s="212" t="str">
        <x:v>R-18</x:v>
      </x:c>
      <x:c r="B22" s="212" t="str">
        <x:v>交付</x:v>
      </x:c>
      <x:c r="C22" s="212" t="str">
        <x:v>源码冻结与可复现版本</x:v>
      </x:c>
      <x:c r="D22" s="228" t="str">
        <x:v>☐ 未完成</x:v>
      </x:c>
      <x:c r="E22" s="212" t="str">
        <x:v>当前分支仍有113个已跟踪修改和113个未跟踪项</x:v>
      </x:c>
      <x:c r="F22" s="212" t="str">
        <x:v>git status；stage09/v1-development @ 57caa3f</x:v>
      </x:c>
      <x:c r="G22" s="212" t="str">
        <x:v>正式源码交付前必须审查差异、排除运行产物并形成可回退提交</x:v>
      </x:c>
    </x:row>
    <x:row r="23" ht="56" customHeight="1">
      <x:c r="A23" s="212" t="str">
        <x:v>R-19</x:v>
      </x:c>
      <x:c r="B23" s="212" t="str">
        <x:v>存储</x:v>
      </x:c>
      <x:c r="C23" s="212" t="str">
        <x:v>非当前模型下载残留</x:v>
      </x:c>
      <x:c r="D23" s="224" t="str">
        <x:v>△ 有条件</x:v>
      </x:c>
      <x:c r="E23" s="212" t="str">
        <x:v>4B/14B目录合计约11.2GB，其中51个.part文件约7.0GB；均未加载</x:v>
      </x:c>
      <x:c r="F23" s="212" t="str">
        <x:v>models/Qwen3.5-4B；models/Qwen3-14B</x:v>
      </x:c>
      <x:c r="G23" s="212" t="str">
        <x:v>不影响本次演示；演示后确认保留策略再清理</x:v>
      </x:c>
    </x:row>
    <x:row r="24" ht="56" customHeight="1">
      <x:c r="A24" s="212" t="str">
        <x:v>R-20</x:v>
      </x:c>
      <x:c r="B24" s="212" t="str">
        <x:v>结论</x:v>
      </x:c>
      <x:c r="C24" s="212" t="str">
        <x:v>下午现场演示条件</x:v>
      </x:c>
      <x:c r="D24" s="220" t="str">
        <x:v>☑ 已完成</x:v>
      </x:c>
      <x:c r="E24" s="212" t="str">
        <x:v>登录、业务页、AI、词库、报告、DOCX、固定端口与汇报页均具备演示条件</x:v>
      </x:c>
      <x:c r="F24" s="212" t="str">
        <x:v>本页R-01至R-17</x:v>
      </x:c>
      <x:c r="G24" s="212" t="str">
        <x:v>现场演示可开始；正式源码交付以R-18关闭为准</x:v>
      </x:c>
    </x:row>
  </x:sheetData>
  <x:pageMargins left="0.7" right="0.7" top="0.75" bottom="0.75" header="0.3" footer="0.3"/>
</x:worksheet>
</file>